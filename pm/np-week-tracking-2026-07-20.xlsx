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 Tracking" sheetId="1" state="visible" r:id="rId3"/>
    <sheet name="Mon-Tue Kept vs Sched" sheetId="2" state="visible" r:id="rId4"/>
    <sheet name="July vs Budg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<sst xmlns="http://schemas.openxmlformats.org/spreadsheetml/2006/main" count="150" uniqueCount="113">
  <si>
    <t xml:space="preserve">SHP New Patients — Week of Jul 20–24, 2026 · what we are tracking at</t>
  </si>
  <si>
    <t xml:space="preserve">Mon–Tue = ACTUAL kept &amp; verified new (Power BI, pulled 7/22) · Wed–Fri = EXPECTED on the schedule (NextGen pivot). Data provided by Joe 2026-07-22. Aggregate counts only — no PHI.</t>
  </si>
  <si>
    <t xml:space="preserve">SL</t>
  </si>
  <si>
    <t xml:space="preserve">Provider</t>
  </si>
  <si>
    <t xml:space="preserve">Mon 7/20 ACTUAL</t>
  </si>
  <si>
    <t xml:space="preserve">Tue 7/21 ACTUAL</t>
  </si>
  <si>
    <t xml:space="preserve">Wed 7/22 EXPECTED</t>
  </si>
  <si>
    <t xml:space="preserve">Thu 7/23 EXPECTED</t>
  </si>
  <si>
    <t xml:space="preserve">Fri 7/24 EXPECTED</t>
  </si>
  <si>
    <t xml:space="preserve">Week</t>
  </si>
  <si>
    <t xml:space="preserve">Ortho</t>
  </si>
  <si>
    <t xml:space="preserve">J Mendelson MD</t>
  </si>
  <si>
    <t xml:space="preserve">D Mendelson MD</t>
  </si>
  <si>
    <t xml:space="preserve">B Mayo MD</t>
  </si>
  <si>
    <t xml:space="preserve">S Mendelson MD</t>
  </si>
  <si>
    <t xml:space="preserve">P Bhullar MD</t>
  </si>
  <si>
    <t xml:space="preserve">A Mendelson MD</t>
  </si>
  <si>
    <t xml:space="preserve">J Yacisen MD</t>
  </si>
  <si>
    <t xml:space="preserve">Ortho Total</t>
  </si>
  <si>
    <t xml:space="preserve">Spine</t>
  </si>
  <si>
    <t xml:space="preserve">S McCarty</t>
  </si>
  <si>
    <t xml:space="preserve">J Varghese MD</t>
  </si>
  <si>
    <t xml:space="preserve">M Salar MD</t>
  </si>
  <si>
    <t xml:space="preserve">Spine Total</t>
  </si>
  <si>
    <t xml:space="preserve">Foot</t>
  </si>
  <si>
    <t xml:space="preserve">R Leff, DPM</t>
  </si>
  <si>
    <t xml:space="preserve">K Green, DPM</t>
  </si>
  <si>
    <t xml:space="preserve">J. B Klein DPM</t>
  </si>
  <si>
    <t xml:space="preserve">K Sorensen, DPM</t>
  </si>
  <si>
    <t xml:space="preserve">F Leff, DPM *</t>
  </si>
  <si>
    <t xml:space="preserve">Foot Total</t>
  </si>
  <si>
    <t xml:space="preserve">Hand</t>
  </si>
  <si>
    <t xml:space="preserve">K Bohm MD</t>
  </si>
  <si>
    <t xml:space="preserve">Hand Total</t>
  </si>
  <si>
    <t xml:space="preserve">Pain</t>
  </si>
  <si>
    <t xml:space="preserve">K Lee MD</t>
  </si>
  <si>
    <t xml:space="preserve">B Kassa DO</t>
  </si>
  <si>
    <t xml:space="preserve">A Oddo DO</t>
  </si>
  <si>
    <t xml:space="preserve">H Singh MD</t>
  </si>
  <si>
    <t xml:space="preserve">(Mon–Tue actual kept — provider split n/a in PBI)</t>
  </si>
  <si>
    <t xml:space="preserve">Pain Total</t>
  </si>
  <si>
    <t xml:space="preserve">PCP</t>
  </si>
  <si>
    <t xml:space="preserve">T Abood DO</t>
  </si>
  <si>
    <t xml:space="preserve">PCP Total</t>
  </si>
  <si>
    <t xml:space="preserve">GRAND TOTAL — tracking</t>
  </si>
  <si>
    <t xml:space="preserve">Original pivot (scheduled)</t>
  </si>
  <si>
    <t xml:space="preserve">Kept &amp; verified new (Power BI)</t>
  </si>
  <si>
    <t xml:space="preserve">Mon–Tue kept-new rate</t>
  </si>
  <si>
    <t xml:space="preserve">READ AGAINST TARGETS (spine-90day-plan §5 ramp · master game plan ortho hold)</t>
  </si>
  <si>
    <t xml:space="preserve">Line</t>
  </si>
  <si>
    <t xml:space="preserve">Tracking</t>
  </si>
  <si>
    <t xml:space="preserve">Target</t>
  </si>
  <si>
    <t xml:space="preserve">Variance</t>
  </si>
  <si>
    <t xml:space="preserve">Note</t>
  </si>
  <si>
    <t xml:space="preserve">Spine — this week's ramp step</t>
  </si>
  <si>
    <t xml:space="preserve">above the step IF Wed–Fri holds; Fri has only 4 on the books</t>
  </si>
  <si>
    <t xml:space="preserve">Spine — Aug 30 floor (Gate 1)</t>
  </si>
  <si>
    <t xml:space="preserve">gap to the 65 floor</t>
  </si>
  <si>
    <t xml:space="preserve">Ortho — hold standard (low end)</t>
  </si>
  <si>
    <t xml:space="preserve">vs the 130–140 'ortho carries the shortfall' hold</t>
  </si>
  <si>
    <t xml:space="preserve">Risk-adj TOTAL (Wed–Fri × kept rate)</t>
  </si>
  <si>
    <t xml:space="preserve">if Wed–Fri keeps only at the Mon–Tue rate</t>
  </si>
  <si>
    <t xml:space="preserve">Risk-adj Spine (spine's own rate)</t>
  </si>
  <si>
    <t xml:space="preserve">spine Mon–Tue kept 22/23 = 95.7%</t>
  </si>
  <si>
    <t xml:space="preserve">Risk-adj Ortho (ortho's own rate)</t>
  </si>
  <si>
    <t xml:space="preserve">ortho Mon–Tue kept 40/48 = 83.3%</t>
  </si>
  <si>
    <t xml:space="preserve">LEGEND / HOW TO USE</t>
  </si>
  <si>
    <t xml:space="preserve">Blue-filled cells (Mon–Tue) = ACTUAL kept &amp; verified new patients — Power BI, pulled 7/22. Do not edit.</t>
  </si>
  <si>
    <t xml:space="preserve">Yellow-filled cells (Wed–Fri) = EXPECTED from the NextGen scheduled pivot. As each day closes, overwrite with the kept-new actual — every total recalculates.</t>
  </si>
  <si>
    <t xml:space="preserve">Blue TEXT = hardcoded inputs (source data / targets). Black = formulas.</t>
  </si>
  <si>
    <t xml:space="preserve">Pain &amp; Other: Power BI doesn't split Mon–Tue actuals by provider — they sit on the '(Mon–Tue actual kept)' row.</t>
  </si>
  <si>
    <t xml:space="preserve">Power BI also shows 2 PA/Mid-Level kept NPs on Fri 7/24 — not on the scheduled pivot, so excluded here; add a row if you want mid-levels tracked.</t>
  </si>
  <si>
    <t xml:space="preserve">Distinct-count caveat: the source pivot's grand total reads 259, but its daily columns sum to 261 — ~2 patients appear on 2 days. This tracker sums daily counts.</t>
  </si>
  <si>
    <t xml:space="preserve">Example of a filled-in day: when Wed closes, replace E-column yellow cells with kept-new counts exactly as done for Mon/Tue (e.g., Spine Wed 17 → actual kept).</t>
  </si>
  <si>
    <t xml:space="preserve">Mon 7/20 + Tue 7/21 — scheduled (NextGen pivot) vs. kept &amp; verified new (Power BI)</t>
  </si>
  <si>
    <t xml:space="preserve">Mon Sched</t>
  </si>
  <si>
    <t xml:space="preserve">Mon Kept</t>
  </si>
  <si>
    <t xml:space="preserve">Mon Δ</t>
  </si>
  <si>
    <t xml:space="preserve">Tue Sched</t>
  </si>
  <si>
    <t xml:space="preserve">Tue Kept</t>
  </si>
  <si>
    <t xml:space="preserve">Tue Δ</t>
  </si>
  <si>
    <t xml:space="preserve">2-Day Sched</t>
  </si>
  <si>
    <t xml:space="preserve">2-Day Kept</t>
  </si>
  <si>
    <t xml:space="preserve">2-Day Δ</t>
  </si>
  <si>
    <t xml:space="preserve">All Pain providers (PBI shows no provider split)</t>
  </si>
  <si>
    <t xml:space="preserve">GRAND TOTAL</t>
  </si>
  <si>
    <t xml:space="preserve">Takeaways: 2-day kept-new ran −18 vs scheduled (124 → 106, −14.5%). Biggest leaks: Tue Ortho −7 (S Mendelson 8→3),</t>
  </si>
  <si>
    <t xml:space="preserve">Tue Pain −5 (5 scheduled, 0 kept as new). Hand Tue came in +1 OVER schedule. Spine held: 23 sched → 22 kept (−1).</t>
  </si>
  <si>
    <t xml:space="preserve">Δ = kept &amp; verified new (Power BI) minus scheduled (pivot). Includes both no-shows/cancels AND visits that were not new patients.</t>
  </si>
  <si>
    <t xml:space="preserve">* F Leff, DPM appears only in Power BI (1 kept Mon) — not on the scheduled pivot.</t>
  </si>
  <si>
    <t xml:space="preserve">July 2026 — tracking vs. budget (actuals through Mon 7/21 · 14 of 22 clinic days · pulled 2 PM 7/22)</t>
  </si>
  <si>
    <t xml:space="preserve">Budget: '2026 New Patients by Channel Budget.xlsx', July column. Actuals/scheduled: NextGen export data_20260722T140021 (kept/verified-new basis — matches Power BI for 7/20–21). Jul 22–31 = scheduled, still filling.</t>
  </si>
  <si>
    <t xml:space="preserve">Service Line</t>
  </si>
  <si>
    <t xml:space="preserve">July Budget</t>
  </si>
  <si>
    <t xml:space="preserve">Daily Goal</t>
  </si>
  <si>
    <t xml:space="preserve">Pace thru 7/21 (14d)</t>
  </si>
  <si>
    <t xml:space="preserve">Actual thru 7/21</t>
  </si>
  <si>
    <t xml:space="preserve">Gap vs Pace</t>
  </si>
  <si>
    <t xml:space="preserve">Sched 7/22–31</t>
  </si>
  <si>
    <t xml:space="preserve">On the books</t>
  </si>
  <si>
    <t xml:space="preserve">vs Budget</t>
  </si>
  <si>
    <t xml:space="preserve">June Actual</t>
  </si>
  <si>
    <t xml:space="preserve">PA / Mid-Level</t>
  </si>
  <si>
    <t xml:space="preserve">Total</t>
  </si>
  <si>
    <t xml:space="preserve">Required/day, remaining 8 clinic days</t>
  </si>
  <si>
    <t xml:space="preserve">vs 60.6/day plan — total must run ~117% of plan Jul 22–31 to land on budget</t>
  </si>
  <si>
    <t xml:space="preserve">Spine required/day, remaining</t>
  </si>
  <si>
    <t xml:space="preserve">vs 14.3/day plan — spine cannot close −80 in July; flag the landing zone, not a heroic ask</t>
  </si>
  <si>
    <t xml:space="preserve">Reading: Ortho +64, Foot +27, Hand +26 above pace · Spine −80, PA/Mid-Level −92, Pain −21, PCP −5 behind.</t>
  </si>
  <si>
    <t xml:space="preserve">PA/Mid-Level −92: likely how mid-level new patients are classified in this report as much as real volume — confirm with Santosh before treating as a volume problem.</t>
  </si>
  <si>
    <t xml:space="preserve">'On the books' = actual + currently scheduled; late-July days are still filling, so it is a floor-ish view, not a forecast.</t>
  </si>
  <si>
    <t xml:space="preserve">Last week's shared update reported 529 thru 7/14 from the 2 PM 7/15 pull; this fresher pull shows 518 for the same window — counts settle as reschedules/reclassifications post.</t>
  </si>
  <si>
    <t xml:space="preserve">Grand-total convention: the source report uses distinct patient counts; totals may not equal the sum of buckets.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</si>
</sst>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"/>
    <numFmt numFmtId="168" formatCode="\+0;\-0;\–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double"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C00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4"/>
    <col collapsed="false" customWidth="true" hidden="false" outlineLevel="0" max="7" min="3" style="1" width="15"/>
    <col collapsed="false" customWidth="true" hidden="false" outlineLevel="0" max="8" min="8" style="1" width="9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customFormat="false" ht="15" hidden="false" customHeight="true" outlineLevel="0" collapsed="false">
      <c r="A5" s="6" t="s">
        <v>10</v>
      </c>
      <c r="B5" s="6" t="s">
        <v>11</v>
      </c>
      <c r="C5" s="7"/>
      <c r="D5" s="7" t="n">
        <v>5</v>
      </c>
      <c r="E5" s="8" t="n">
        <v>12</v>
      </c>
      <c r="F5" s="8" t="n">
        <v>4</v>
      </c>
      <c r="G5" s="8"/>
      <c r="H5" s="9" t="n">
        <f aca="false">SUM(C5:G5)</f>
        <v>21</v>
      </c>
    </row>
    <row r="6" customFormat="false" ht="15" hidden="false" customHeight="true" outlineLevel="0" collapsed="false">
      <c r="A6" s="6"/>
      <c r="B6" s="6" t="s">
        <v>12</v>
      </c>
      <c r="C6" s="7" t="n">
        <v>5</v>
      </c>
      <c r="D6" s="7"/>
      <c r="E6" s="8" t="n">
        <v>6</v>
      </c>
      <c r="F6" s="8" t="n">
        <v>10</v>
      </c>
      <c r="G6" s="8"/>
      <c r="H6" s="9" t="n">
        <f aca="false">SUM(C6:G6)</f>
        <v>21</v>
      </c>
    </row>
    <row r="7" customFormat="false" ht="15" hidden="false" customHeight="true" outlineLevel="0" collapsed="false">
      <c r="A7" s="6"/>
      <c r="B7" s="6" t="s">
        <v>13</v>
      </c>
      <c r="C7" s="7" t="n">
        <v>8</v>
      </c>
      <c r="D7" s="7" t="n">
        <v>7</v>
      </c>
      <c r="E7" s="8"/>
      <c r="F7" s="8"/>
      <c r="G7" s="8" t="n">
        <v>4</v>
      </c>
      <c r="H7" s="9" t="n">
        <f aca="false">SUM(C7:G7)</f>
        <v>19</v>
      </c>
    </row>
    <row r="8" customFormat="false" ht="15" hidden="false" customHeight="true" outlineLevel="0" collapsed="false">
      <c r="A8" s="6"/>
      <c r="B8" s="6" t="s">
        <v>14</v>
      </c>
      <c r="C8" s="7" t="n">
        <v>2</v>
      </c>
      <c r="D8" s="7" t="n">
        <v>3</v>
      </c>
      <c r="E8" s="8"/>
      <c r="F8" s="8" t="n">
        <v>4</v>
      </c>
      <c r="G8" s="8"/>
      <c r="H8" s="9" t="n">
        <f aca="false">SUM(C8:G8)</f>
        <v>9</v>
      </c>
    </row>
    <row r="9" customFormat="false" ht="15" hidden="false" customHeight="true" outlineLevel="0" collapsed="false">
      <c r="A9" s="6"/>
      <c r="B9" s="6" t="s">
        <v>15</v>
      </c>
      <c r="C9" s="7" t="n">
        <v>5</v>
      </c>
      <c r="D9" s="7"/>
      <c r="E9" s="8"/>
      <c r="F9" s="8" t="n">
        <v>4</v>
      </c>
      <c r="G9" s="8" t="n">
        <v>3</v>
      </c>
      <c r="H9" s="9" t="n">
        <f aca="false">SUM(C9:G9)</f>
        <v>12</v>
      </c>
    </row>
    <row r="10" customFormat="false" ht="15" hidden="false" customHeight="true" outlineLevel="0" collapsed="false">
      <c r="A10" s="6"/>
      <c r="B10" s="6" t="s">
        <v>16</v>
      </c>
      <c r="C10" s="7" t="n">
        <v>5</v>
      </c>
      <c r="D10" s="7"/>
      <c r="E10" s="8"/>
      <c r="F10" s="8" t="n">
        <v>4</v>
      </c>
      <c r="G10" s="8"/>
      <c r="H10" s="9" t="n">
        <f aca="false">SUM(C10:G10)</f>
        <v>9</v>
      </c>
    </row>
    <row r="11" customFormat="false" ht="15" hidden="false" customHeight="true" outlineLevel="0" collapsed="false">
      <c r="A11" s="6"/>
      <c r="B11" s="6" t="s">
        <v>17</v>
      </c>
      <c r="C11" s="7"/>
      <c r="D11" s="7"/>
      <c r="E11" s="8" t="n">
        <v>7</v>
      </c>
      <c r="F11" s="8"/>
      <c r="G11" s="8"/>
      <c r="H11" s="9" t="n">
        <f aca="false">SUM(C11:G11)</f>
        <v>7</v>
      </c>
    </row>
    <row r="12" customFormat="false" ht="15" hidden="false" customHeight="true" outlineLevel="0" collapsed="false">
      <c r="A12" s="10"/>
      <c r="B12" s="11" t="s">
        <v>18</v>
      </c>
      <c r="C12" s="12" t="n">
        <f aca="false">SUM(C5:C11)</f>
        <v>25</v>
      </c>
      <c r="D12" s="12" t="n">
        <f aca="false">SUM(D5:D11)</f>
        <v>15</v>
      </c>
      <c r="E12" s="12" t="n">
        <f aca="false">SUM(E5:E11)</f>
        <v>25</v>
      </c>
      <c r="F12" s="12" t="n">
        <f aca="false">SUM(F5:F11)</f>
        <v>26</v>
      </c>
      <c r="G12" s="12" t="n">
        <f aca="false">SUM(G5:G11)</f>
        <v>7</v>
      </c>
      <c r="H12" s="12" t="n">
        <f aca="false">SUM(C12:G12)</f>
        <v>98</v>
      </c>
    </row>
    <row r="13" customFormat="false" ht="15" hidden="false" customHeight="true" outlineLevel="0" collapsed="false">
      <c r="A13" s="6" t="s">
        <v>19</v>
      </c>
      <c r="B13" s="6" t="s">
        <v>20</v>
      </c>
      <c r="C13" s="7" t="n">
        <v>6</v>
      </c>
      <c r="D13" s="7" t="n">
        <v>8</v>
      </c>
      <c r="E13" s="8" t="n">
        <v>5</v>
      </c>
      <c r="F13" s="8"/>
      <c r="G13" s="8" t="n">
        <v>4</v>
      </c>
      <c r="H13" s="9" t="n">
        <f aca="false">SUM(C13:G13)</f>
        <v>23</v>
      </c>
    </row>
    <row r="14" customFormat="false" ht="15" hidden="false" customHeight="true" outlineLevel="0" collapsed="false">
      <c r="A14" s="6"/>
      <c r="B14" s="6" t="s">
        <v>21</v>
      </c>
      <c r="C14" s="7"/>
      <c r="D14" s="7" t="n">
        <v>7</v>
      </c>
      <c r="E14" s="8" t="n">
        <v>5</v>
      </c>
      <c r="F14" s="8" t="n">
        <v>4</v>
      </c>
      <c r="G14" s="8"/>
      <c r="H14" s="9" t="n">
        <f aca="false">SUM(C14:G14)</f>
        <v>16</v>
      </c>
    </row>
    <row r="15" customFormat="false" ht="15" hidden="false" customHeight="true" outlineLevel="0" collapsed="false">
      <c r="A15" s="6"/>
      <c r="B15" s="6" t="s">
        <v>22</v>
      </c>
      <c r="C15" s="7"/>
      <c r="D15" s="7" t="n">
        <v>1</v>
      </c>
      <c r="E15" s="8" t="n">
        <v>7</v>
      </c>
      <c r="F15" s="8" t="n">
        <v>7</v>
      </c>
      <c r="G15" s="8"/>
      <c r="H15" s="9" t="n">
        <f aca="false">SUM(C15:G15)</f>
        <v>15</v>
      </c>
    </row>
    <row r="16" customFormat="false" ht="15" hidden="false" customHeight="true" outlineLevel="0" collapsed="false">
      <c r="A16" s="10"/>
      <c r="B16" s="11" t="s">
        <v>23</v>
      </c>
      <c r="C16" s="12" t="n">
        <f aca="false">SUM(C13:C15)</f>
        <v>6</v>
      </c>
      <c r="D16" s="12" t="n">
        <f aca="false">SUM(D13:D15)</f>
        <v>16</v>
      </c>
      <c r="E16" s="12" t="n">
        <f aca="false">SUM(E13:E15)</f>
        <v>17</v>
      </c>
      <c r="F16" s="12" t="n">
        <f aca="false">SUM(F13:F15)</f>
        <v>11</v>
      </c>
      <c r="G16" s="12" t="n">
        <f aca="false">SUM(G13:G15)</f>
        <v>4</v>
      </c>
      <c r="H16" s="12" t="n">
        <f aca="false">SUM(C16:G16)</f>
        <v>54</v>
      </c>
    </row>
    <row r="17" customFormat="false" ht="15" hidden="false" customHeight="true" outlineLevel="0" collapsed="false">
      <c r="A17" s="6" t="s">
        <v>24</v>
      </c>
      <c r="B17" s="6" t="s">
        <v>25</v>
      </c>
      <c r="C17" s="7" t="n">
        <v>2</v>
      </c>
      <c r="D17" s="7" t="n">
        <v>6</v>
      </c>
      <c r="E17" s="8" t="n">
        <v>2</v>
      </c>
      <c r="F17" s="8" t="n">
        <v>4</v>
      </c>
      <c r="G17" s="8" t="n">
        <v>1</v>
      </c>
      <c r="H17" s="9" t="n">
        <f aca="false">SUM(C17:G17)</f>
        <v>15</v>
      </c>
    </row>
    <row r="18" customFormat="false" ht="15" hidden="false" customHeight="true" outlineLevel="0" collapsed="false">
      <c r="A18" s="6"/>
      <c r="B18" s="6" t="s">
        <v>26</v>
      </c>
      <c r="C18" s="7" t="n">
        <v>4</v>
      </c>
      <c r="D18" s="7"/>
      <c r="E18" s="8" t="n">
        <v>3</v>
      </c>
      <c r="F18" s="8"/>
      <c r="G18" s="8" t="n">
        <v>4</v>
      </c>
      <c r="H18" s="9" t="n">
        <f aca="false">SUM(C18:G18)</f>
        <v>11</v>
      </c>
    </row>
    <row r="19" customFormat="false" ht="15" hidden="false" customHeight="true" outlineLevel="0" collapsed="false">
      <c r="A19" s="6"/>
      <c r="B19" s="6" t="s">
        <v>27</v>
      </c>
      <c r="C19" s="7" t="n">
        <v>4</v>
      </c>
      <c r="D19" s="7" t="n">
        <v>3</v>
      </c>
      <c r="E19" s="8"/>
      <c r="F19" s="8" t="n">
        <v>1</v>
      </c>
      <c r="G19" s="8"/>
      <c r="H19" s="9" t="n">
        <f aca="false">SUM(C19:G19)</f>
        <v>8</v>
      </c>
    </row>
    <row r="20" customFormat="false" ht="15" hidden="false" customHeight="true" outlineLevel="0" collapsed="false">
      <c r="A20" s="6"/>
      <c r="B20" s="6" t="s">
        <v>28</v>
      </c>
      <c r="C20" s="7"/>
      <c r="D20" s="7"/>
      <c r="E20" s="8" t="n">
        <v>1</v>
      </c>
      <c r="F20" s="8" t="n">
        <v>1</v>
      </c>
      <c r="G20" s="8"/>
      <c r="H20" s="9" t="n">
        <f aca="false">SUM(C20:G20)</f>
        <v>2</v>
      </c>
    </row>
    <row r="21" customFormat="false" ht="15" hidden="false" customHeight="true" outlineLevel="0" collapsed="false">
      <c r="A21" s="6"/>
      <c r="B21" s="6" t="s">
        <v>29</v>
      </c>
      <c r="C21" s="7" t="n">
        <v>1</v>
      </c>
      <c r="D21" s="7"/>
      <c r="E21" s="8"/>
      <c r="F21" s="8"/>
      <c r="G21" s="8"/>
      <c r="H21" s="9" t="n">
        <f aca="false">SUM(C21:G21)</f>
        <v>1</v>
      </c>
    </row>
    <row r="22" customFormat="false" ht="15" hidden="false" customHeight="true" outlineLevel="0" collapsed="false">
      <c r="A22" s="10"/>
      <c r="B22" s="11" t="s">
        <v>30</v>
      </c>
      <c r="C22" s="12" t="n">
        <f aca="false">SUM(C17:C21)</f>
        <v>11</v>
      </c>
      <c r="D22" s="12" t="n">
        <f aca="false">SUM(D17:D21)</f>
        <v>9</v>
      </c>
      <c r="E22" s="12" t="n">
        <f aca="false">SUM(E17:E21)</f>
        <v>6</v>
      </c>
      <c r="F22" s="12" t="n">
        <f aca="false">SUM(F17:F21)</f>
        <v>6</v>
      </c>
      <c r="G22" s="12" t="n">
        <f aca="false">SUM(G17:G21)</f>
        <v>5</v>
      </c>
      <c r="H22" s="12" t="n">
        <f aca="false">SUM(C22:G22)</f>
        <v>37</v>
      </c>
    </row>
    <row r="23" customFormat="false" ht="15" hidden="false" customHeight="true" outlineLevel="0" collapsed="false">
      <c r="A23" s="6" t="s">
        <v>31</v>
      </c>
      <c r="B23" s="6" t="s">
        <v>32</v>
      </c>
      <c r="C23" s="7" t="n">
        <v>8</v>
      </c>
      <c r="D23" s="7" t="n">
        <v>11</v>
      </c>
      <c r="E23" s="8" t="n">
        <v>8</v>
      </c>
      <c r="F23" s="8"/>
      <c r="G23" s="8" t="n">
        <v>6</v>
      </c>
      <c r="H23" s="9" t="n">
        <f aca="false">SUM(C23:G23)</f>
        <v>33</v>
      </c>
    </row>
    <row r="24" customFormat="false" ht="15" hidden="false" customHeight="true" outlineLevel="0" collapsed="false">
      <c r="A24" s="10"/>
      <c r="B24" s="11" t="s">
        <v>33</v>
      </c>
      <c r="C24" s="12" t="n">
        <f aca="false">SUM(C23:C23)</f>
        <v>8</v>
      </c>
      <c r="D24" s="12" t="n">
        <f aca="false">SUM(D23:D23)</f>
        <v>11</v>
      </c>
      <c r="E24" s="12" t="n">
        <f aca="false">SUM(E23:E23)</f>
        <v>8</v>
      </c>
      <c r="F24" s="12" t="n">
        <f aca="false">SUM(F23:F23)</f>
        <v>0</v>
      </c>
      <c r="G24" s="12" t="n">
        <f aca="false">SUM(G23:G23)</f>
        <v>6</v>
      </c>
      <c r="H24" s="12" t="n">
        <f aca="false">SUM(C24:G24)</f>
        <v>33</v>
      </c>
    </row>
    <row r="25" customFormat="false" ht="15" hidden="false" customHeight="true" outlineLevel="0" collapsed="false">
      <c r="A25" s="6" t="s">
        <v>34</v>
      </c>
      <c r="B25" s="6" t="s">
        <v>35</v>
      </c>
      <c r="C25" s="7"/>
      <c r="D25" s="7"/>
      <c r="E25" s="8" t="n">
        <v>4</v>
      </c>
      <c r="F25" s="8"/>
      <c r="G25" s="8" t="n">
        <v>1</v>
      </c>
      <c r="H25" s="9" t="n">
        <f aca="false">SUM(C25:G25)</f>
        <v>5</v>
      </c>
    </row>
    <row r="26" customFormat="false" ht="15" hidden="false" customHeight="true" outlineLevel="0" collapsed="false">
      <c r="A26" s="6"/>
      <c r="B26" s="6" t="s">
        <v>36</v>
      </c>
      <c r="C26" s="7"/>
      <c r="D26" s="7"/>
      <c r="E26" s="8"/>
      <c r="F26" s="8" t="n">
        <v>3</v>
      </c>
      <c r="G26" s="8"/>
      <c r="H26" s="9" t="n">
        <f aca="false">SUM(C26:G26)</f>
        <v>3</v>
      </c>
    </row>
    <row r="27" customFormat="false" ht="15" hidden="false" customHeight="true" outlineLevel="0" collapsed="false">
      <c r="A27" s="6"/>
      <c r="B27" s="6" t="s">
        <v>37</v>
      </c>
      <c r="C27" s="7"/>
      <c r="D27" s="7"/>
      <c r="E27" s="8"/>
      <c r="F27" s="8" t="n">
        <v>4</v>
      </c>
      <c r="G27" s="8"/>
      <c r="H27" s="9" t="n">
        <f aca="false">SUM(C27:G27)</f>
        <v>4</v>
      </c>
    </row>
    <row r="28" customFormat="false" ht="15" hidden="false" customHeight="true" outlineLevel="0" collapsed="false">
      <c r="A28" s="6"/>
      <c r="B28" s="6" t="s">
        <v>38</v>
      </c>
      <c r="C28" s="7"/>
      <c r="D28" s="7"/>
      <c r="E28" s="8" t="n">
        <v>2</v>
      </c>
      <c r="F28" s="8"/>
      <c r="G28" s="8" t="n">
        <v>1</v>
      </c>
      <c r="H28" s="9" t="n">
        <f aca="false">SUM(C28:G28)</f>
        <v>3</v>
      </c>
    </row>
    <row r="29" customFormat="false" ht="15" hidden="false" customHeight="true" outlineLevel="0" collapsed="false">
      <c r="A29" s="6"/>
      <c r="B29" s="6" t="s">
        <v>39</v>
      </c>
      <c r="C29" s="13" t="n">
        <v>4</v>
      </c>
      <c r="D29" s="13" t="n">
        <v>0</v>
      </c>
      <c r="E29" s="8"/>
      <c r="F29" s="8"/>
      <c r="G29" s="8"/>
      <c r="H29" s="9" t="n">
        <f aca="false">SUM(C29:G29)</f>
        <v>4</v>
      </c>
    </row>
    <row r="30" customFormat="false" ht="15" hidden="false" customHeight="true" outlineLevel="0" collapsed="false">
      <c r="A30" s="10"/>
      <c r="B30" s="11" t="s">
        <v>40</v>
      </c>
      <c r="C30" s="12" t="n">
        <f aca="false">SUM(C25:C29)</f>
        <v>4</v>
      </c>
      <c r="D30" s="12" t="n">
        <f aca="false">SUM(D25:D29)</f>
        <v>0</v>
      </c>
      <c r="E30" s="12" t="n">
        <f aca="false">SUM(E25:E29)</f>
        <v>6</v>
      </c>
      <c r="F30" s="12" t="n">
        <f aca="false">SUM(F25:F29)</f>
        <v>7</v>
      </c>
      <c r="G30" s="12" t="n">
        <f aca="false">SUM(G25:G29)</f>
        <v>2</v>
      </c>
      <c r="H30" s="12" t="n">
        <f aca="false">SUM(C30:G30)</f>
        <v>19</v>
      </c>
    </row>
    <row r="31" customFormat="false" ht="15" hidden="false" customHeight="true" outlineLevel="0" collapsed="false">
      <c r="A31" s="6" t="s">
        <v>41</v>
      </c>
      <c r="B31" s="6" t="s">
        <v>42</v>
      </c>
      <c r="C31" s="7"/>
      <c r="D31" s="7" t="n">
        <v>1</v>
      </c>
      <c r="E31" s="8" t="n">
        <v>1</v>
      </c>
      <c r="F31" s="8"/>
      <c r="G31" s="8"/>
      <c r="H31" s="9" t="n">
        <f aca="false">SUM(C31:G31)</f>
        <v>2</v>
      </c>
    </row>
    <row r="32" customFormat="false" ht="15" hidden="false" customHeight="true" outlineLevel="0" collapsed="false">
      <c r="A32" s="10"/>
      <c r="B32" s="11" t="s">
        <v>43</v>
      </c>
      <c r="C32" s="12" t="n">
        <f aca="false">SUM(C31:C31)</f>
        <v>0</v>
      </c>
      <c r="D32" s="12" t="n">
        <f aca="false">SUM(D31:D31)</f>
        <v>1</v>
      </c>
      <c r="E32" s="12" t="n">
        <f aca="false">SUM(E31:E31)</f>
        <v>1</v>
      </c>
      <c r="F32" s="12" t="n">
        <f aca="false">SUM(F31:F31)</f>
        <v>0</v>
      </c>
      <c r="G32" s="12" t="n">
        <f aca="false">SUM(G31:G31)</f>
        <v>0</v>
      </c>
      <c r="H32" s="12" t="n">
        <f aca="false">SUM(C32:G32)</f>
        <v>2</v>
      </c>
    </row>
    <row r="33" customFormat="false" ht="15" hidden="false" customHeight="true" outlineLevel="0" collapsed="false">
      <c r="A33" s="14"/>
      <c r="B33" s="15" t="s">
        <v>44</v>
      </c>
      <c r="C33" s="16" t="n">
        <f aca="false">C12+C16+C22+C24+C30+C32</f>
        <v>54</v>
      </c>
      <c r="D33" s="16" t="n">
        <f aca="false">D12+D16+D22+D24+D30+D32</f>
        <v>52</v>
      </c>
      <c r="E33" s="16" t="n">
        <f aca="false">E12+E16+E22+E24+E30+E32</f>
        <v>63</v>
      </c>
      <c r="F33" s="16" t="n">
        <f aca="false">F12+F16+F22+F24+F30+F32</f>
        <v>50</v>
      </c>
      <c r="G33" s="16" t="n">
        <f aca="false">G12+G16+G22+G24+G30+G32</f>
        <v>24</v>
      </c>
      <c r="H33" s="16" t="n">
        <f aca="false">SUM(C33:G33)</f>
        <v>243</v>
      </c>
    </row>
    <row r="35" customFormat="false" ht="15" hidden="false" customHeight="true" outlineLevel="0" collapsed="false">
      <c r="B35" s="17" t="s">
        <v>45</v>
      </c>
      <c r="C35" s="18" t="n">
        <v>59</v>
      </c>
      <c r="D35" s="18" t="n">
        <v>65</v>
      </c>
      <c r="E35" s="18" t="n">
        <v>63</v>
      </c>
      <c r="F35" s="18" t="n">
        <v>50</v>
      </c>
      <c r="G35" s="18" t="n">
        <v>24</v>
      </c>
      <c r="H35" s="9" t="n">
        <f aca="false">SUM(C35:G35)</f>
        <v>261</v>
      </c>
    </row>
    <row r="36" customFormat="false" ht="15" hidden="false" customHeight="true" outlineLevel="0" collapsed="false">
      <c r="B36" s="17" t="s">
        <v>46</v>
      </c>
      <c r="C36" s="13" t="n">
        <v>54</v>
      </c>
      <c r="D36" s="13" t="n">
        <v>52</v>
      </c>
      <c r="E36" s="19"/>
      <c r="F36" s="19"/>
      <c r="G36" s="19"/>
      <c r="H36" s="19"/>
    </row>
    <row r="37" customFormat="false" ht="15" hidden="false" customHeight="true" outlineLevel="0" collapsed="false">
      <c r="B37" s="17" t="s">
        <v>47</v>
      </c>
      <c r="C37" s="20" t="n">
        <f aca="false">(C36+D36)/(C35+D35)</f>
        <v>0.854838709677419</v>
      </c>
    </row>
    <row r="39" customFormat="false" ht="15" hidden="false" customHeight="true" outlineLevel="0" collapsed="false">
      <c r="B39" s="17" t="s">
        <v>48</v>
      </c>
    </row>
    <row r="40" customFormat="false" ht="15" hidden="false" customHeight="true" outlineLevel="0" collapsed="false">
      <c r="B40" s="4" t="s">
        <v>49</v>
      </c>
      <c r="C40" s="5" t="s">
        <v>50</v>
      </c>
      <c r="D40" s="5" t="s">
        <v>51</v>
      </c>
      <c r="E40" s="5" t="s">
        <v>52</v>
      </c>
      <c r="F40" s="5" t="s">
        <v>53</v>
      </c>
    </row>
    <row r="41" customFormat="false" ht="15" hidden="false" customHeight="true" outlineLevel="0" collapsed="false">
      <c r="B41" s="6" t="s">
        <v>54</v>
      </c>
      <c r="C41" s="21" t="n">
        <f aca="false">H16</f>
        <v>54</v>
      </c>
      <c r="D41" s="18" t="n">
        <v>51</v>
      </c>
      <c r="E41" s="22" t="n">
        <f aca="false">C41-D41</f>
        <v>3</v>
      </c>
      <c r="F41" s="23" t="s">
        <v>55</v>
      </c>
    </row>
    <row r="42" customFormat="false" ht="15" hidden="false" customHeight="true" outlineLevel="0" collapsed="false">
      <c r="B42" s="6" t="s">
        <v>56</v>
      </c>
      <c r="C42" s="21" t="n">
        <f aca="false">H16</f>
        <v>54</v>
      </c>
      <c r="D42" s="18" t="n">
        <v>65</v>
      </c>
      <c r="E42" s="22" t="n">
        <f aca="false">C42-D42</f>
        <v>-11</v>
      </c>
      <c r="F42" s="23" t="s">
        <v>57</v>
      </c>
    </row>
    <row r="43" customFormat="false" ht="15" hidden="false" customHeight="true" outlineLevel="0" collapsed="false">
      <c r="B43" s="6" t="s">
        <v>58</v>
      </c>
      <c r="C43" s="21" t="n">
        <f aca="false">H12</f>
        <v>98</v>
      </c>
      <c r="D43" s="18" t="n">
        <v>130</v>
      </c>
      <c r="E43" s="22" t="n">
        <f aca="false">C43-D43</f>
        <v>-32</v>
      </c>
      <c r="F43" s="23" t="s">
        <v>59</v>
      </c>
    </row>
    <row r="44" customFormat="false" ht="15" hidden="false" customHeight="true" outlineLevel="0" collapsed="false">
      <c r="B44" s="6" t="s">
        <v>60</v>
      </c>
      <c r="C44" s="21" t="n">
        <f aca="false">C33+D33+(E33+F33+G33)*C37</f>
        <v>223.112903225806</v>
      </c>
      <c r="F44" s="23" t="s">
        <v>61</v>
      </c>
    </row>
    <row r="45" customFormat="false" ht="15" hidden="false" customHeight="true" outlineLevel="0" collapsed="false">
      <c r="B45" s="6" t="s">
        <v>62</v>
      </c>
      <c r="C45" s="21" t="n">
        <f aca="false">C16+D16+(E16+F16+G16)*('Mon-Tue Kept vs Sched'!J15/'Mon-Tue Kept vs Sched'!I15)</f>
        <v>52.6086956521739</v>
      </c>
      <c r="D45" s="18" t="n">
        <v>51</v>
      </c>
      <c r="E45" s="22" t="n">
        <f aca="false">C45-D45</f>
        <v>1.60869565217391</v>
      </c>
      <c r="F45" s="23" t="s">
        <v>63</v>
      </c>
    </row>
    <row r="46" customFormat="false" ht="15" hidden="false" customHeight="true" outlineLevel="0" collapsed="false">
      <c r="B46" s="6" t="s">
        <v>64</v>
      </c>
      <c r="C46" s="21" t="n">
        <f aca="false">C12+D12+(E12+F12+G12)*('Mon-Tue Kept vs Sched'!J11/'Mon-Tue Kept vs Sched'!I11)</f>
        <v>88.3333333333333</v>
      </c>
      <c r="D46" s="18" t="n">
        <v>130</v>
      </c>
      <c r="E46" s="22" t="n">
        <f aca="false">C46-D46</f>
        <v>-41.6666666666667</v>
      </c>
      <c r="F46" s="23" t="s">
        <v>65</v>
      </c>
    </row>
    <row r="48" customFormat="false" ht="15" hidden="false" customHeight="true" outlineLevel="0" collapsed="false">
      <c r="B48" s="24" t="s">
        <v>66</v>
      </c>
    </row>
    <row r="49" customFormat="false" ht="15" hidden="false" customHeight="true" outlineLevel="0" collapsed="false">
      <c r="B49" s="23" t="s">
        <v>67</v>
      </c>
    </row>
    <row r="50" customFormat="false" ht="15" hidden="false" customHeight="true" outlineLevel="0" collapsed="false">
      <c r="B50" s="23" t="s">
        <v>68</v>
      </c>
    </row>
    <row r="51" customFormat="false" ht="15" hidden="false" customHeight="true" outlineLevel="0" collapsed="false">
      <c r="B51" s="23" t="s">
        <v>69</v>
      </c>
    </row>
    <row r="52" customFormat="false" ht="15" hidden="false" customHeight="true" outlineLevel="0" collapsed="false">
      <c r="B52" s="23" t="s">
        <v>70</v>
      </c>
    </row>
    <row r="53" customFormat="false" ht="15" hidden="false" customHeight="true" outlineLevel="0" collapsed="false">
      <c r="B53" s="23" t="s">
        <v>71</v>
      </c>
    </row>
    <row r="54" customFormat="false" ht="15" hidden="false" customHeight="true" outlineLevel="0" collapsed="false">
      <c r="B54" s="23" t="s">
        <v>72</v>
      </c>
    </row>
    <row r="55" customFormat="false" ht="15" hidden="false" customHeight="true" outlineLevel="0" collapsed="false">
      <c r="B55" s="23" t="s">
        <v>73</v>
      </c>
    </row>
  </sheetData>
  <mergeCells count="2">
    <mergeCell ref="A1:H1"/>
    <mergeCell ref="A2:H2"/>
  </mergeCells>
  <conditionalFormatting sqref="E41:E46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8"/>
    <col collapsed="false" customWidth="true" hidden="false" outlineLevel="0" max="11" min="3" style="1" width="10.5"/>
  </cols>
  <sheetData>
    <row r="1" customFormat="false" ht="15" hidden="false" customHeight="true" outlineLevel="0" collapsed="false">
      <c r="A1" s="25" t="s">
        <v>74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3" customFormat="false" ht="15" hidden="false" customHeight="true" outlineLevel="0" collapsed="false">
      <c r="A3" s="4" t="s">
        <v>2</v>
      </c>
      <c r="B3" s="4" t="s">
        <v>3</v>
      </c>
      <c r="C3" s="5" t="s">
        <v>75</v>
      </c>
      <c r="D3" s="5" t="s">
        <v>76</v>
      </c>
      <c r="E3" s="5" t="s">
        <v>77</v>
      </c>
      <c r="F3" s="5" t="s">
        <v>78</v>
      </c>
      <c r="G3" s="5" t="s">
        <v>79</v>
      </c>
      <c r="H3" s="5" t="s">
        <v>80</v>
      </c>
      <c r="I3" s="5" t="s">
        <v>81</v>
      </c>
      <c r="J3" s="5" t="s">
        <v>82</v>
      </c>
      <c r="K3" s="5" t="s">
        <v>83</v>
      </c>
    </row>
    <row r="4" customFormat="false" ht="15" hidden="false" customHeight="true" outlineLevel="0" collapsed="false">
      <c r="A4" s="6" t="s">
        <v>10</v>
      </c>
      <c r="B4" s="6" t="s">
        <v>11</v>
      </c>
      <c r="C4" s="19"/>
      <c r="D4" s="7"/>
      <c r="E4" s="26"/>
      <c r="F4" s="19" t="n">
        <v>6</v>
      </c>
      <c r="G4" s="7" t="n">
        <v>5</v>
      </c>
      <c r="H4" s="26" t="n">
        <f aca="false">G4-F4</f>
        <v>-1</v>
      </c>
      <c r="I4" s="19" t="n">
        <f aca="false">SUM(C4,F4)</f>
        <v>6</v>
      </c>
      <c r="J4" s="7" t="n">
        <f aca="false">SUM(D4,G4)</f>
        <v>5</v>
      </c>
      <c r="K4" s="26" t="n">
        <f aca="false">J4-I4</f>
        <v>-1</v>
      </c>
    </row>
    <row r="5" customFormat="false" ht="15" hidden="false" customHeight="true" outlineLevel="0" collapsed="false">
      <c r="A5" s="6"/>
      <c r="B5" s="6" t="s">
        <v>12</v>
      </c>
      <c r="C5" s="19" t="n">
        <v>5</v>
      </c>
      <c r="D5" s="7" t="n">
        <v>5</v>
      </c>
      <c r="E5" s="26" t="n">
        <f aca="false">D5-C5</f>
        <v>0</v>
      </c>
      <c r="F5" s="19"/>
      <c r="G5" s="7"/>
      <c r="H5" s="26"/>
      <c r="I5" s="19" t="n">
        <f aca="false">SUM(C5,F5)</f>
        <v>5</v>
      </c>
      <c r="J5" s="7" t="n">
        <f aca="false">SUM(D5,G5)</f>
        <v>5</v>
      </c>
      <c r="K5" s="26" t="n">
        <f aca="false">J5-I5</f>
        <v>0</v>
      </c>
    </row>
    <row r="6" customFormat="false" ht="15" hidden="false" customHeight="true" outlineLevel="0" collapsed="false">
      <c r="A6" s="6"/>
      <c r="B6" s="6" t="s">
        <v>13</v>
      </c>
      <c r="C6" s="19" t="n">
        <v>8</v>
      </c>
      <c r="D6" s="7" t="n">
        <v>8</v>
      </c>
      <c r="E6" s="26" t="n">
        <f aca="false">D6-C6</f>
        <v>0</v>
      </c>
      <c r="F6" s="19" t="n">
        <v>8</v>
      </c>
      <c r="G6" s="7" t="n">
        <v>7</v>
      </c>
      <c r="H6" s="26" t="n">
        <f aca="false">G6-F6</f>
        <v>-1</v>
      </c>
      <c r="I6" s="19" t="n">
        <f aca="false">SUM(C6,F6)</f>
        <v>16</v>
      </c>
      <c r="J6" s="7" t="n">
        <f aca="false">SUM(D6,G6)</f>
        <v>15</v>
      </c>
      <c r="K6" s="26" t="n">
        <f aca="false">J6-I6</f>
        <v>-1</v>
      </c>
    </row>
    <row r="7" customFormat="false" ht="15" hidden="false" customHeight="true" outlineLevel="0" collapsed="false">
      <c r="A7" s="6"/>
      <c r="B7" s="6" t="s">
        <v>14</v>
      </c>
      <c r="C7" s="19" t="n">
        <v>4</v>
      </c>
      <c r="D7" s="7" t="n">
        <v>2</v>
      </c>
      <c r="E7" s="26" t="n">
        <f aca="false">D7-C7</f>
        <v>-2</v>
      </c>
      <c r="F7" s="19" t="n">
        <v>8</v>
      </c>
      <c r="G7" s="7" t="n">
        <v>3</v>
      </c>
      <c r="H7" s="26" t="n">
        <f aca="false">G7-F7</f>
        <v>-5</v>
      </c>
      <c r="I7" s="19" t="n">
        <f aca="false">SUM(C7,F7)</f>
        <v>12</v>
      </c>
      <c r="J7" s="7" t="n">
        <f aca="false">SUM(D7,G7)</f>
        <v>5</v>
      </c>
      <c r="K7" s="26" t="n">
        <f aca="false">J7-I7</f>
        <v>-7</v>
      </c>
    </row>
    <row r="8" customFormat="false" ht="15" hidden="false" customHeight="true" outlineLevel="0" collapsed="false">
      <c r="A8" s="6"/>
      <c r="B8" s="6" t="s">
        <v>15</v>
      </c>
      <c r="C8" s="19" t="n">
        <v>5</v>
      </c>
      <c r="D8" s="7" t="n">
        <v>5</v>
      </c>
      <c r="E8" s="26" t="n">
        <f aca="false">D8-C8</f>
        <v>0</v>
      </c>
      <c r="F8" s="19"/>
      <c r="G8" s="7"/>
      <c r="H8" s="26"/>
      <c r="I8" s="19" t="n">
        <f aca="false">SUM(C8,F8)</f>
        <v>5</v>
      </c>
      <c r="J8" s="7" t="n">
        <f aca="false">SUM(D8,G8)</f>
        <v>5</v>
      </c>
      <c r="K8" s="26" t="n">
        <f aca="false">J8-I8</f>
        <v>0</v>
      </c>
    </row>
    <row r="9" customFormat="false" ht="15" hidden="false" customHeight="true" outlineLevel="0" collapsed="false">
      <c r="A9" s="6"/>
      <c r="B9" s="6" t="s">
        <v>16</v>
      </c>
      <c r="C9" s="19" t="n">
        <v>4</v>
      </c>
      <c r="D9" s="7" t="n">
        <v>5</v>
      </c>
      <c r="E9" s="26" t="n">
        <f aca="false">D9-C9</f>
        <v>1</v>
      </c>
      <c r="F9" s="19"/>
      <c r="G9" s="7"/>
      <c r="H9" s="26"/>
      <c r="I9" s="19" t="n">
        <f aca="false">SUM(C9,F9)</f>
        <v>4</v>
      </c>
      <c r="J9" s="7" t="n">
        <f aca="false">SUM(D9,G9)</f>
        <v>5</v>
      </c>
      <c r="K9" s="26" t="n">
        <f aca="false">J9-I9</f>
        <v>1</v>
      </c>
    </row>
    <row r="10" customFormat="false" ht="15" hidden="false" customHeight="true" outlineLevel="0" collapsed="false">
      <c r="A10" s="6"/>
      <c r="B10" s="6" t="s">
        <v>17</v>
      </c>
      <c r="C10" s="19"/>
      <c r="D10" s="7"/>
      <c r="E10" s="26"/>
      <c r="F10" s="19"/>
      <c r="G10" s="7"/>
      <c r="H10" s="26"/>
      <c r="I10" s="19" t="n">
        <f aca="false">SUM(C10,F10)</f>
        <v>0</v>
      </c>
      <c r="J10" s="7" t="n">
        <f aca="false">SUM(D10,G10)</f>
        <v>0</v>
      </c>
      <c r="K10" s="26" t="n">
        <f aca="false">J10-I10</f>
        <v>0</v>
      </c>
    </row>
    <row r="11" customFormat="false" ht="15" hidden="false" customHeight="true" outlineLevel="0" collapsed="false">
      <c r="A11" s="10"/>
      <c r="B11" s="11" t="s">
        <v>18</v>
      </c>
      <c r="C11" s="12" t="n">
        <f aca="false">SUM(C4:C10)</f>
        <v>26</v>
      </c>
      <c r="D11" s="12" t="n">
        <f aca="false">SUM(D4:D10)</f>
        <v>25</v>
      </c>
      <c r="E11" s="27" t="n">
        <f aca="false">D11-C11</f>
        <v>-1</v>
      </c>
      <c r="F11" s="12" t="n">
        <f aca="false">SUM(F4:F10)</f>
        <v>22</v>
      </c>
      <c r="G11" s="12" t="n">
        <f aca="false">SUM(G4:G10)</f>
        <v>15</v>
      </c>
      <c r="H11" s="27" t="n">
        <f aca="false">G11-F11</f>
        <v>-7</v>
      </c>
      <c r="I11" s="12" t="n">
        <f aca="false">SUM(I4:I10)</f>
        <v>48</v>
      </c>
      <c r="J11" s="12" t="n">
        <f aca="false">SUM(J4:J10)</f>
        <v>40</v>
      </c>
      <c r="K11" s="27" t="n">
        <f aca="false">J11-I11</f>
        <v>-8</v>
      </c>
    </row>
    <row r="12" customFormat="false" ht="15" hidden="false" customHeight="true" outlineLevel="0" collapsed="false">
      <c r="A12" s="6" t="s">
        <v>19</v>
      </c>
      <c r="B12" s="6" t="s">
        <v>20</v>
      </c>
      <c r="C12" s="19" t="n">
        <v>6</v>
      </c>
      <c r="D12" s="7" t="n">
        <v>6</v>
      </c>
      <c r="E12" s="26" t="n">
        <f aca="false">D12-C12</f>
        <v>0</v>
      </c>
      <c r="F12" s="19" t="n">
        <v>8</v>
      </c>
      <c r="G12" s="7" t="n">
        <v>8</v>
      </c>
      <c r="H12" s="26" t="n">
        <f aca="false">G12-F12</f>
        <v>0</v>
      </c>
      <c r="I12" s="19" t="n">
        <f aca="false">SUM(C12,F12)</f>
        <v>14</v>
      </c>
      <c r="J12" s="7" t="n">
        <f aca="false">SUM(D12,G12)</f>
        <v>14</v>
      </c>
      <c r="K12" s="26" t="n">
        <f aca="false">J12-I12</f>
        <v>0</v>
      </c>
    </row>
    <row r="13" customFormat="false" ht="15" hidden="false" customHeight="true" outlineLevel="0" collapsed="false">
      <c r="A13" s="6"/>
      <c r="B13" s="6" t="s">
        <v>21</v>
      </c>
      <c r="C13" s="19"/>
      <c r="D13" s="7"/>
      <c r="E13" s="26"/>
      <c r="F13" s="19" t="n">
        <v>8</v>
      </c>
      <c r="G13" s="7" t="n">
        <v>7</v>
      </c>
      <c r="H13" s="26" t="n">
        <f aca="false">G13-F13</f>
        <v>-1</v>
      </c>
      <c r="I13" s="19" t="n">
        <f aca="false">SUM(C13,F13)</f>
        <v>8</v>
      </c>
      <c r="J13" s="7" t="n">
        <f aca="false">SUM(D13,G13)</f>
        <v>7</v>
      </c>
      <c r="K13" s="26" t="n">
        <f aca="false">J13-I13</f>
        <v>-1</v>
      </c>
    </row>
    <row r="14" customFormat="false" ht="15" hidden="false" customHeight="true" outlineLevel="0" collapsed="false">
      <c r="A14" s="6"/>
      <c r="B14" s="6" t="s">
        <v>22</v>
      </c>
      <c r="C14" s="19"/>
      <c r="D14" s="7"/>
      <c r="E14" s="26"/>
      <c r="F14" s="19" t="n">
        <v>1</v>
      </c>
      <c r="G14" s="7" t="n">
        <v>1</v>
      </c>
      <c r="H14" s="26" t="n">
        <f aca="false">G14-F14</f>
        <v>0</v>
      </c>
      <c r="I14" s="19" t="n">
        <f aca="false">SUM(C14,F14)</f>
        <v>1</v>
      </c>
      <c r="J14" s="7" t="n">
        <f aca="false">SUM(D14,G14)</f>
        <v>1</v>
      </c>
      <c r="K14" s="26" t="n">
        <f aca="false">J14-I14</f>
        <v>0</v>
      </c>
    </row>
    <row r="15" customFormat="false" ht="15" hidden="false" customHeight="true" outlineLevel="0" collapsed="false">
      <c r="A15" s="10"/>
      <c r="B15" s="11" t="s">
        <v>23</v>
      </c>
      <c r="C15" s="12" t="n">
        <f aca="false">SUM(C12:C14)</f>
        <v>6</v>
      </c>
      <c r="D15" s="12" t="n">
        <f aca="false">SUM(D12:D14)</f>
        <v>6</v>
      </c>
      <c r="E15" s="27" t="n">
        <f aca="false">D15-C15</f>
        <v>0</v>
      </c>
      <c r="F15" s="12" t="n">
        <f aca="false">SUM(F12:F14)</f>
        <v>17</v>
      </c>
      <c r="G15" s="12" t="n">
        <f aca="false">SUM(G12:G14)</f>
        <v>16</v>
      </c>
      <c r="H15" s="27" t="n">
        <f aca="false">G15-F15</f>
        <v>-1</v>
      </c>
      <c r="I15" s="12" t="n">
        <f aca="false">SUM(I12:I14)</f>
        <v>23</v>
      </c>
      <c r="J15" s="12" t="n">
        <f aca="false">SUM(J12:J14)</f>
        <v>22</v>
      </c>
      <c r="K15" s="27" t="n">
        <f aca="false">J15-I15</f>
        <v>-1</v>
      </c>
    </row>
    <row r="16" customFormat="false" ht="15" hidden="false" customHeight="true" outlineLevel="0" collapsed="false">
      <c r="A16" s="6" t="s">
        <v>24</v>
      </c>
      <c r="B16" s="6" t="s">
        <v>25</v>
      </c>
      <c r="C16" s="19" t="n">
        <v>2</v>
      </c>
      <c r="D16" s="7" t="n">
        <v>2</v>
      </c>
      <c r="E16" s="26" t="n">
        <f aca="false">D16-C16</f>
        <v>0</v>
      </c>
      <c r="F16" s="19" t="n">
        <v>7</v>
      </c>
      <c r="G16" s="7" t="n">
        <v>6</v>
      </c>
      <c r="H16" s="26" t="n">
        <f aca="false">G16-F16</f>
        <v>-1</v>
      </c>
      <c r="I16" s="19" t="n">
        <f aca="false">SUM(C16,F16)</f>
        <v>9</v>
      </c>
      <c r="J16" s="7" t="n">
        <f aca="false">SUM(D16,G16)</f>
        <v>8</v>
      </c>
      <c r="K16" s="26" t="n">
        <f aca="false">J16-I16</f>
        <v>-1</v>
      </c>
    </row>
    <row r="17" customFormat="false" ht="15" hidden="false" customHeight="true" outlineLevel="0" collapsed="false">
      <c r="A17" s="6"/>
      <c r="B17" s="6" t="s">
        <v>26</v>
      </c>
      <c r="C17" s="19" t="n">
        <v>4</v>
      </c>
      <c r="D17" s="7" t="n">
        <v>4</v>
      </c>
      <c r="E17" s="26" t="n">
        <f aca="false">D17-C17</f>
        <v>0</v>
      </c>
      <c r="F17" s="19"/>
      <c r="G17" s="7"/>
      <c r="H17" s="26"/>
      <c r="I17" s="19" t="n">
        <f aca="false">SUM(C17,F17)</f>
        <v>4</v>
      </c>
      <c r="J17" s="7" t="n">
        <f aca="false">SUM(D17,G17)</f>
        <v>4</v>
      </c>
      <c r="K17" s="26" t="n">
        <f aca="false">J17-I17</f>
        <v>0</v>
      </c>
    </row>
    <row r="18" customFormat="false" ht="15" hidden="false" customHeight="true" outlineLevel="0" collapsed="false">
      <c r="A18" s="6"/>
      <c r="B18" s="6" t="s">
        <v>27</v>
      </c>
      <c r="C18" s="19" t="n">
        <v>5</v>
      </c>
      <c r="D18" s="7" t="n">
        <v>4</v>
      </c>
      <c r="E18" s="26" t="n">
        <f aca="false">D18-C18</f>
        <v>-1</v>
      </c>
      <c r="F18" s="19" t="n">
        <v>3</v>
      </c>
      <c r="G18" s="7" t="n">
        <v>3</v>
      </c>
      <c r="H18" s="26" t="n">
        <f aca="false">G18-F18</f>
        <v>0</v>
      </c>
      <c r="I18" s="19" t="n">
        <f aca="false">SUM(C18,F18)</f>
        <v>8</v>
      </c>
      <c r="J18" s="7" t="n">
        <f aca="false">SUM(D18,G18)</f>
        <v>7</v>
      </c>
      <c r="K18" s="26" t="n">
        <f aca="false">J18-I18</f>
        <v>-1</v>
      </c>
    </row>
    <row r="19" customFormat="false" ht="15" hidden="false" customHeight="true" outlineLevel="0" collapsed="false">
      <c r="A19" s="6"/>
      <c r="B19" s="6" t="s">
        <v>28</v>
      </c>
      <c r="C19" s="19" t="n">
        <v>2</v>
      </c>
      <c r="D19" s="7"/>
      <c r="E19" s="26" t="n">
        <f aca="false">D19-C19</f>
        <v>-2</v>
      </c>
      <c r="F19" s="19"/>
      <c r="G19" s="7"/>
      <c r="H19" s="26"/>
      <c r="I19" s="19" t="n">
        <f aca="false">SUM(C19,F19)</f>
        <v>2</v>
      </c>
      <c r="J19" s="7" t="n">
        <f aca="false">SUM(D19,G19)</f>
        <v>0</v>
      </c>
      <c r="K19" s="26" t="n">
        <f aca="false">J19-I19</f>
        <v>-2</v>
      </c>
    </row>
    <row r="20" customFormat="false" ht="15" hidden="false" customHeight="true" outlineLevel="0" collapsed="false">
      <c r="A20" s="6"/>
      <c r="B20" s="6" t="s">
        <v>29</v>
      </c>
      <c r="C20" s="19"/>
      <c r="D20" s="7" t="n">
        <v>1</v>
      </c>
      <c r="E20" s="26" t="n">
        <f aca="false">D20-C20</f>
        <v>1</v>
      </c>
      <c r="F20" s="19"/>
      <c r="G20" s="7"/>
      <c r="H20" s="26"/>
      <c r="I20" s="19" t="n">
        <f aca="false">SUM(C20,F20)</f>
        <v>0</v>
      </c>
      <c r="J20" s="7" t="n">
        <f aca="false">SUM(D20,G20)</f>
        <v>1</v>
      </c>
      <c r="K20" s="26" t="n">
        <f aca="false">J20-I20</f>
        <v>1</v>
      </c>
    </row>
    <row r="21" customFormat="false" ht="15" hidden="false" customHeight="true" outlineLevel="0" collapsed="false">
      <c r="A21" s="10"/>
      <c r="B21" s="11" t="s">
        <v>30</v>
      </c>
      <c r="C21" s="12" t="n">
        <f aca="false">SUM(C16:C20)</f>
        <v>13</v>
      </c>
      <c r="D21" s="12" t="n">
        <f aca="false">SUM(D16:D20)</f>
        <v>11</v>
      </c>
      <c r="E21" s="27" t="n">
        <f aca="false">D21-C21</f>
        <v>-2</v>
      </c>
      <c r="F21" s="12" t="n">
        <f aca="false">SUM(F16:F20)</f>
        <v>10</v>
      </c>
      <c r="G21" s="12" t="n">
        <f aca="false">SUM(G16:G20)</f>
        <v>9</v>
      </c>
      <c r="H21" s="27" t="n">
        <f aca="false">G21-F21</f>
        <v>-1</v>
      </c>
      <c r="I21" s="12" t="n">
        <f aca="false">SUM(I16:I20)</f>
        <v>23</v>
      </c>
      <c r="J21" s="12" t="n">
        <f aca="false">SUM(J16:J20)</f>
        <v>20</v>
      </c>
      <c r="K21" s="27" t="n">
        <f aca="false">J21-I21</f>
        <v>-3</v>
      </c>
    </row>
    <row r="22" customFormat="false" ht="15" hidden="false" customHeight="true" outlineLevel="0" collapsed="false">
      <c r="A22" s="6" t="s">
        <v>31</v>
      </c>
      <c r="B22" s="6" t="s">
        <v>32</v>
      </c>
      <c r="C22" s="19" t="n">
        <v>9</v>
      </c>
      <c r="D22" s="7" t="n">
        <v>8</v>
      </c>
      <c r="E22" s="26" t="n">
        <f aca="false">D22-C22</f>
        <v>-1</v>
      </c>
      <c r="F22" s="19" t="n">
        <v>10</v>
      </c>
      <c r="G22" s="7" t="n">
        <v>11</v>
      </c>
      <c r="H22" s="26" t="n">
        <f aca="false">G22-F22</f>
        <v>1</v>
      </c>
      <c r="I22" s="19" t="n">
        <f aca="false">SUM(C22,F22)</f>
        <v>19</v>
      </c>
      <c r="J22" s="7" t="n">
        <f aca="false">SUM(D22,G22)</f>
        <v>19</v>
      </c>
      <c r="K22" s="26" t="n">
        <f aca="false">J22-I22</f>
        <v>0</v>
      </c>
    </row>
    <row r="23" customFormat="false" ht="15" hidden="false" customHeight="true" outlineLevel="0" collapsed="false">
      <c r="A23" s="10"/>
      <c r="B23" s="11" t="s">
        <v>33</v>
      </c>
      <c r="C23" s="12" t="n">
        <f aca="false">SUM(C22:C22)</f>
        <v>9</v>
      </c>
      <c r="D23" s="12" t="n">
        <f aca="false">SUM(D22:D22)</f>
        <v>8</v>
      </c>
      <c r="E23" s="27" t="n">
        <f aca="false">D23-C23</f>
        <v>-1</v>
      </c>
      <c r="F23" s="12" t="n">
        <f aca="false">SUM(F22:F22)</f>
        <v>10</v>
      </c>
      <c r="G23" s="12" t="n">
        <f aca="false">SUM(G22:G22)</f>
        <v>11</v>
      </c>
      <c r="H23" s="27" t="n">
        <f aca="false">G23-F23</f>
        <v>1</v>
      </c>
      <c r="I23" s="12" t="n">
        <f aca="false">SUM(I22:I22)</f>
        <v>19</v>
      </c>
      <c r="J23" s="12" t="n">
        <f aca="false">SUM(J22:J22)</f>
        <v>19</v>
      </c>
      <c r="K23" s="27" t="n">
        <f aca="false">J23-I23</f>
        <v>0</v>
      </c>
    </row>
    <row r="24" customFormat="false" ht="15" hidden="false" customHeight="true" outlineLevel="0" collapsed="false">
      <c r="A24" s="6" t="s">
        <v>34</v>
      </c>
      <c r="B24" s="6" t="s">
        <v>84</v>
      </c>
      <c r="C24" s="19" t="n">
        <v>5</v>
      </c>
      <c r="D24" s="7" t="n">
        <v>4</v>
      </c>
      <c r="E24" s="26" t="n">
        <f aca="false">D24-C24</f>
        <v>-1</v>
      </c>
      <c r="F24" s="19" t="n">
        <v>5</v>
      </c>
      <c r="G24" s="7" t="n">
        <v>0</v>
      </c>
      <c r="H24" s="26" t="n">
        <f aca="false">G24-F24</f>
        <v>-5</v>
      </c>
      <c r="I24" s="19" t="n">
        <f aca="false">SUM(C24,F24)</f>
        <v>10</v>
      </c>
      <c r="J24" s="7" t="n">
        <f aca="false">SUM(D24,G24)</f>
        <v>4</v>
      </c>
      <c r="K24" s="26" t="n">
        <f aca="false">J24-I24</f>
        <v>-6</v>
      </c>
    </row>
    <row r="25" customFormat="false" ht="15" hidden="false" customHeight="true" outlineLevel="0" collapsed="false">
      <c r="A25" s="10"/>
      <c r="B25" s="11" t="s">
        <v>40</v>
      </c>
      <c r="C25" s="12" t="n">
        <f aca="false">C24</f>
        <v>5</v>
      </c>
      <c r="D25" s="12" t="n">
        <f aca="false">D24</f>
        <v>4</v>
      </c>
      <c r="E25" s="27" t="n">
        <f aca="false">D25-C25</f>
        <v>-1</v>
      </c>
      <c r="F25" s="12" t="n">
        <f aca="false">F24</f>
        <v>5</v>
      </c>
      <c r="G25" s="12" t="n">
        <f aca="false">G24</f>
        <v>0</v>
      </c>
      <c r="H25" s="27" t="n">
        <f aca="false">G25-F25</f>
        <v>-5</v>
      </c>
      <c r="I25" s="12" t="n">
        <f aca="false">I24</f>
        <v>10</v>
      </c>
      <c r="J25" s="12" t="n">
        <f aca="false">J24</f>
        <v>4</v>
      </c>
      <c r="K25" s="27" t="n">
        <f aca="false">J25-I25</f>
        <v>-6</v>
      </c>
    </row>
    <row r="26" customFormat="false" ht="15" hidden="false" customHeight="true" outlineLevel="0" collapsed="false">
      <c r="A26" s="6" t="s">
        <v>41</v>
      </c>
      <c r="B26" s="6" t="s">
        <v>42</v>
      </c>
      <c r="C26" s="19"/>
      <c r="D26" s="7"/>
      <c r="E26" s="26"/>
      <c r="F26" s="19" t="n">
        <v>1</v>
      </c>
      <c r="G26" s="7" t="n">
        <v>1</v>
      </c>
      <c r="H26" s="26" t="n">
        <f aca="false">G26-F26</f>
        <v>0</v>
      </c>
      <c r="I26" s="19" t="n">
        <f aca="false">SUM(C26,F26)</f>
        <v>1</v>
      </c>
      <c r="J26" s="7" t="n">
        <f aca="false">SUM(D26,G26)</f>
        <v>1</v>
      </c>
      <c r="K26" s="26" t="n">
        <f aca="false">J26-I26</f>
        <v>0</v>
      </c>
    </row>
    <row r="27" customFormat="false" ht="15" hidden="false" customHeight="true" outlineLevel="0" collapsed="false">
      <c r="A27" s="10"/>
      <c r="B27" s="11" t="s">
        <v>43</v>
      </c>
      <c r="C27" s="12" t="n">
        <f aca="false">SUM(C26:C26)</f>
        <v>0</v>
      </c>
      <c r="D27" s="12" t="n">
        <f aca="false">SUM(D26:D26)</f>
        <v>0</v>
      </c>
      <c r="E27" s="27" t="n">
        <f aca="false">D27-C27</f>
        <v>0</v>
      </c>
      <c r="F27" s="12" t="n">
        <f aca="false">SUM(F26:F26)</f>
        <v>1</v>
      </c>
      <c r="G27" s="12" t="n">
        <f aca="false">SUM(G26:G26)</f>
        <v>1</v>
      </c>
      <c r="H27" s="27" t="n">
        <f aca="false">G27-F27</f>
        <v>0</v>
      </c>
      <c r="I27" s="12" t="n">
        <f aca="false">SUM(I26:I26)</f>
        <v>1</v>
      </c>
      <c r="J27" s="12" t="n">
        <f aca="false">SUM(J26:J26)</f>
        <v>1</v>
      </c>
      <c r="K27" s="27" t="n">
        <f aca="false">J27-I27</f>
        <v>0</v>
      </c>
    </row>
    <row r="28" customFormat="false" ht="15" hidden="false" customHeight="true" outlineLevel="0" collapsed="false">
      <c r="A28" s="14"/>
      <c r="B28" s="15" t="s">
        <v>85</v>
      </c>
      <c r="C28" s="16" t="n">
        <f aca="false">C11+C15+C21+C23+C25+C27</f>
        <v>59</v>
      </c>
      <c r="D28" s="16" t="n">
        <f aca="false">D11+D15+D21+D23+D25+D27</f>
        <v>54</v>
      </c>
      <c r="E28" s="28" t="n">
        <f aca="false">D28-C28</f>
        <v>-5</v>
      </c>
      <c r="F28" s="16" t="n">
        <f aca="false">F11+F15+F21+F23+F25+F27</f>
        <v>65</v>
      </c>
      <c r="G28" s="16" t="n">
        <f aca="false">G11+G15+G21+G23+G25+G27</f>
        <v>52</v>
      </c>
      <c r="H28" s="28" t="n">
        <f aca="false">G28-F28</f>
        <v>-13</v>
      </c>
      <c r="I28" s="16" t="n">
        <f aca="false">I11+I15+I21+I23+I25+I27</f>
        <v>124</v>
      </c>
      <c r="J28" s="16" t="n">
        <f aca="false">J11+J15+J21+J23+J25+J27</f>
        <v>106</v>
      </c>
      <c r="K28" s="28" t="n">
        <f aca="false">J28-I28</f>
        <v>-18</v>
      </c>
    </row>
    <row r="30" customFormat="false" ht="15" hidden="false" customHeight="true" outlineLevel="0" collapsed="false">
      <c r="B30" s="23" t="s">
        <v>86</v>
      </c>
    </row>
    <row r="31" customFormat="false" ht="15" hidden="false" customHeight="true" outlineLevel="0" collapsed="false">
      <c r="B31" s="23" t="s">
        <v>87</v>
      </c>
    </row>
    <row r="32" customFormat="false" ht="15" hidden="false" customHeight="true" outlineLevel="0" collapsed="false">
      <c r="B32" s="23" t="s">
        <v>88</v>
      </c>
    </row>
    <row r="33" customFormat="false" ht="15" hidden="false" customHeight="true" outlineLevel="0" collapsed="false">
      <c r="B33" s="23" t="s">
        <v>89</v>
      </c>
    </row>
  </sheetData>
  <mergeCells count="1">
    <mergeCell ref="A1:K1"/>
  </mergeCells>
  <conditionalFormatting sqref="E4:E28">
    <cfRule type="cellIs" priority="2" operator="lessThan" aboveAverage="0" equalAverage="0" bottom="0" percent="0" rank="0" text="" dxfId="0">
      <formula>0</formula>
    </cfRule>
  </conditionalFormatting>
  <conditionalFormatting sqref="H4:H28">
    <cfRule type="cellIs" priority="3" operator="lessThan" aboveAverage="0" equalAverage="0" bottom="0" percent="0" rank="0" text="" dxfId="0">
      <formula>0</formula>
    </cfRule>
  </conditionalFormatting>
  <conditionalFormatting sqref="K4:K28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0" min="2" style="1" width="13.5"/>
  </cols>
  <sheetData>
    <row r="1" customFormat="false" ht="15" hidden="false" customHeight="true" outlineLevel="0" collapsed="false">
      <c r="A1" s="25" t="s">
        <v>90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15" hidden="false" customHeight="true" outlineLevel="0" collapsed="false">
      <c r="A2" s="3" t="s">
        <v>91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92</v>
      </c>
      <c r="B4" s="5" t="s">
        <v>93</v>
      </c>
      <c r="C4" s="5" t="s">
        <v>94</v>
      </c>
      <c r="D4" s="5" t="s">
        <v>95</v>
      </c>
      <c r="E4" s="5" t="s">
        <v>96</v>
      </c>
      <c r="F4" s="5" t="s">
        <v>97</v>
      </c>
      <c r="G4" s="5" t="s">
        <v>98</v>
      </c>
      <c r="H4" s="5" t="s">
        <v>99</v>
      </c>
      <c r="I4" s="5" t="s">
        <v>100</v>
      </c>
      <c r="J4" s="5" t="s">
        <v>101</v>
      </c>
    </row>
    <row r="5" customFormat="false" ht="15" hidden="false" customHeight="true" outlineLevel="0" collapsed="false">
      <c r="A5" s="6" t="s">
        <v>10</v>
      </c>
      <c r="B5" s="29" t="n">
        <v>462</v>
      </c>
      <c r="C5" s="30" t="n">
        <f aca="false">B5/22</f>
        <v>21</v>
      </c>
      <c r="D5" s="31" t="n">
        <f aca="false">ROUND(C5*14,0)</f>
        <v>294</v>
      </c>
      <c r="E5" s="18" t="n">
        <v>358</v>
      </c>
      <c r="F5" s="22" t="n">
        <f aca="false">E5-D5</f>
        <v>64</v>
      </c>
      <c r="G5" s="18" t="n">
        <v>91</v>
      </c>
      <c r="H5" s="31" t="n">
        <f aca="false">E5+G5</f>
        <v>449</v>
      </c>
      <c r="I5" s="22" t="n">
        <f aca="false">H5-B5</f>
        <v>-13</v>
      </c>
      <c r="J5" s="18" t="n">
        <v>496</v>
      </c>
    </row>
    <row r="6" customFormat="false" ht="15" hidden="false" customHeight="true" outlineLevel="0" collapsed="false">
      <c r="A6" s="6" t="s">
        <v>19</v>
      </c>
      <c r="B6" s="29" t="n">
        <v>315</v>
      </c>
      <c r="C6" s="30" t="n">
        <f aca="false">B6/22</f>
        <v>14.3181818181818</v>
      </c>
      <c r="D6" s="31" t="n">
        <f aca="false">ROUND(C6*14,0)</f>
        <v>200</v>
      </c>
      <c r="E6" s="18" t="n">
        <v>120</v>
      </c>
      <c r="F6" s="22" t="n">
        <f aca="false">E6-D6</f>
        <v>-80</v>
      </c>
      <c r="G6" s="18" t="n">
        <v>54</v>
      </c>
      <c r="H6" s="31" t="n">
        <f aca="false">E6+G6</f>
        <v>174</v>
      </c>
      <c r="I6" s="22" t="n">
        <f aca="false">H6-B6</f>
        <v>-141</v>
      </c>
      <c r="J6" s="18" t="n">
        <v>247</v>
      </c>
    </row>
    <row r="7" customFormat="false" ht="15" hidden="false" customHeight="true" outlineLevel="0" collapsed="false">
      <c r="A7" s="6" t="s">
        <v>34</v>
      </c>
      <c r="B7" s="29" t="n">
        <v>76</v>
      </c>
      <c r="C7" s="30" t="n">
        <f aca="false">B7/22</f>
        <v>3.45454545454545</v>
      </c>
      <c r="D7" s="31" t="n">
        <f aca="false">ROUND(C7*14,0)</f>
        <v>48</v>
      </c>
      <c r="E7" s="18" t="n">
        <v>27</v>
      </c>
      <c r="F7" s="22" t="n">
        <f aca="false">E7-D7</f>
        <v>-21</v>
      </c>
      <c r="G7" s="18" t="n">
        <v>29</v>
      </c>
      <c r="H7" s="31" t="n">
        <f aca="false">E7+G7</f>
        <v>56</v>
      </c>
      <c r="I7" s="22" t="n">
        <f aca="false">H7-B7</f>
        <v>-20</v>
      </c>
      <c r="J7" s="18" t="n">
        <v>64</v>
      </c>
    </row>
    <row r="8" customFormat="false" ht="15" hidden="false" customHeight="true" outlineLevel="0" collapsed="false">
      <c r="A8" s="6" t="s">
        <v>24</v>
      </c>
      <c r="B8" s="29" t="n">
        <v>207</v>
      </c>
      <c r="C8" s="30" t="n">
        <f aca="false">B8/22</f>
        <v>9.40909090909091</v>
      </c>
      <c r="D8" s="31" t="n">
        <f aca="false">ROUND(C8*14,0)</f>
        <v>132</v>
      </c>
      <c r="E8" s="18" t="n">
        <v>159</v>
      </c>
      <c r="F8" s="22" t="n">
        <f aca="false">E8-D8</f>
        <v>27</v>
      </c>
      <c r="G8" s="18" t="n">
        <v>37</v>
      </c>
      <c r="H8" s="31" t="n">
        <f aca="false">E8+G8</f>
        <v>196</v>
      </c>
      <c r="I8" s="22" t="n">
        <f aca="false">H8-B8</f>
        <v>-11</v>
      </c>
      <c r="J8" s="18" t="n">
        <v>196</v>
      </c>
    </row>
    <row r="9" customFormat="false" ht="15" hidden="false" customHeight="true" outlineLevel="0" collapsed="false">
      <c r="A9" s="6" t="s">
        <v>31</v>
      </c>
      <c r="B9" s="29" t="n">
        <v>93.37</v>
      </c>
      <c r="C9" s="30" t="n">
        <f aca="false">B9/22</f>
        <v>4.24409090909091</v>
      </c>
      <c r="D9" s="31" t="n">
        <f aca="false">ROUND(C9*14,0)</f>
        <v>59</v>
      </c>
      <c r="E9" s="18" t="n">
        <v>85</v>
      </c>
      <c r="F9" s="22" t="n">
        <f aca="false">E9-D9</f>
        <v>26</v>
      </c>
      <c r="G9" s="18" t="n">
        <v>22</v>
      </c>
      <c r="H9" s="31" t="n">
        <f aca="false">E9+G9</f>
        <v>107</v>
      </c>
      <c r="I9" s="22" t="n">
        <f aca="false">H9-B9</f>
        <v>13.63</v>
      </c>
      <c r="J9" s="18" t="n">
        <v>122</v>
      </c>
    </row>
    <row r="10" customFormat="false" ht="15" hidden="false" customHeight="true" outlineLevel="0" collapsed="false">
      <c r="A10" s="6" t="s">
        <v>41</v>
      </c>
      <c r="B10" s="29" t="n">
        <v>25</v>
      </c>
      <c r="C10" s="30" t="n">
        <f aca="false">B10/22</f>
        <v>1.13636363636364</v>
      </c>
      <c r="D10" s="31" t="n">
        <f aca="false">ROUND(C10*14,0)</f>
        <v>16</v>
      </c>
      <c r="E10" s="18" t="n">
        <v>11</v>
      </c>
      <c r="F10" s="22" t="n">
        <f aca="false">E10-D10</f>
        <v>-5</v>
      </c>
      <c r="G10" s="18" t="n">
        <v>4</v>
      </c>
      <c r="H10" s="31" t="n">
        <f aca="false">E10+G10</f>
        <v>15</v>
      </c>
      <c r="I10" s="22" t="n">
        <f aca="false">H10-B10</f>
        <v>-10</v>
      </c>
      <c r="J10" s="18" t="n">
        <v>13</v>
      </c>
    </row>
    <row r="11" customFormat="false" ht="15" hidden="false" customHeight="true" outlineLevel="0" collapsed="false">
      <c r="A11" s="6" t="s">
        <v>102</v>
      </c>
      <c r="B11" s="29" t="n">
        <v>155</v>
      </c>
      <c r="C11" s="30" t="n">
        <f aca="false">B11/22</f>
        <v>7.04545454545455</v>
      </c>
      <c r="D11" s="31" t="n">
        <f aca="false">ROUND(C11*14,0)</f>
        <v>99</v>
      </c>
      <c r="E11" s="18" t="n">
        <v>7</v>
      </c>
      <c r="F11" s="22" t="n">
        <f aca="false">E11-D11</f>
        <v>-92</v>
      </c>
      <c r="G11" s="18" t="n">
        <v>2</v>
      </c>
      <c r="H11" s="31" t="n">
        <f aca="false">E11+G11</f>
        <v>9</v>
      </c>
      <c r="I11" s="22" t="n">
        <f aca="false">H11-B11</f>
        <v>-146</v>
      </c>
      <c r="J11" s="18" t="n">
        <v>5</v>
      </c>
    </row>
    <row r="12" customFormat="false" ht="15" hidden="false" customHeight="true" outlineLevel="0" collapsed="false">
      <c r="A12" s="11" t="s">
        <v>103</v>
      </c>
      <c r="B12" s="32" t="n">
        <f aca="false">SUM(B5:B11)</f>
        <v>1333.37</v>
      </c>
      <c r="C12" s="33" t="n">
        <f aca="false">B12/22</f>
        <v>60.6077272727273</v>
      </c>
      <c r="D12" s="32" t="n">
        <f aca="false">ROUND(C12*14,0)</f>
        <v>849</v>
      </c>
      <c r="E12" s="32" t="n">
        <f aca="false">SUM(E5:E11)</f>
        <v>767</v>
      </c>
      <c r="F12" s="27" t="n">
        <f aca="false">E12-D12</f>
        <v>-82</v>
      </c>
      <c r="G12" s="32" t="n">
        <f aca="false">SUM(G5:G11)</f>
        <v>239</v>
      </c>
      <c r="H12" s="32" t="n">
        <f aca="false">E12+G12</f>
        <v>1006</v>
      </c>
      <c r="I12" s="27" t="n">
        <f aca="false">H12-B12</f>
        <v>-327.37</v>
      </c>
      <c r="J12" s="32" t="n">
        <f aca="false">SUM(J5:J11)</f>
        <v>1143</v>
      </c>
    </row>
    <row r="14" customFormat="false" ht="15" hidden="false" customHeight="true" outlineLevel="0" collapsed="false">
      <c r="A14" s="17" t="s">
        <v>104</v>
      </c>
      <c r="B14" s="34" t="n">
        <f aca="false">(B12-E12)/8</f>
        <v>70.79625</v>
      </c>
      <c r="C14" s="23" t="s">
        <v>105</v>
      </c>
    </row>
    <row r="15" customFormat="false" ht="15" hidden="false" customHeight="true" outlineLevel="0" collapsed="false">
      <c r="A15" s="17" t="s">
        <v>106</v>
      </c>
      <c r="B15" s="34" t="n">
        <f aca="false">(B6-E6)/8</f>
        <v>24.375</v>
      </c>
      <c r="C15" s="23" t="s">
        <v>107</v>
      </c>
    </row>
    <row r="17" customFormat="false" ht="15" hidden="false" customHeight="true" outlineLevel="0" collapsed="false">
      <c r="A17" s="23" t="s">
        <v>108</v>
      </c>
    </row>
    <row r="18" customFormat="false" ht="15" hidden="false" customHeight="true" outlineLevel="0" collapsed="false">
      <c r="A18" s="23" t="s">
        <v>109</v>
      </c>
    </row>
    <row r="19" customFormat="false" ht="15" hidden="false" customHeight="true" outlineLevel="0" collapsed="false">
      <c r="A19" s="23" t="s">
        <v>110</v>
      </c>
    </row>
    <row r="20" customFormat="false" ht="15" hidden="false" customHeight="true" outlineLevel="0" collapsed="false">
      <c r="A20" s="23" t="s">
        <v>111</v>
      </c>
    </row>
    <row r="21" customFormat="false" ht="15" hidden="false" customHeight="true" outlineLevel="0" collapsed="false">
      <c r="A21" s="23" t="s">
        <v>112</v>
      </c>
    </row>
  </sheetData>
  <mergeCells count="2">
    <mergeCell ref="A1:J1"/>
    <mergeCell ref="A2:J2"/>
  </mergeCells>
  <conditionalFormatting sqref="F5:F12">
    <cfRule type="cellIs" priority="2" operator="lessThan" aboveAverage="0" equalAverage="0" bottom="0" percent="0" rank="0" text="" dxfId="0">
      <formula>0</formula>
    </cfRule>
  </conditionalFormatting>
  <conditionalFormatting sqref="I5:I12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2026-07-22T18:07:47Z</dcterms:created>
  <dc:creator>openpyxl</dc:creator>
  <dc:description/>
  <dc:language>en-US</dc:language>
  <cp:lastModifiedBy/>
  <dcterms:modified xsi:type="dcterms:W3CDTF">2026-07-22T18:20:44Z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