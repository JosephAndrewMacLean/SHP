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  <sheet name="Kristen" sheetId="2" state="visible" r:id="rId2"/>
    <sheet name="Jasmine" sheetId="3" state="visible" r:id="rId3"/>
    <sheet name="Coty" sheetId="4" state="visible" r:id="rId4"/>
    <sheet name="Sean (verify)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4E4A"/>
      <sz val="16"/>
    </font>
    <font>
      <name val="Arial"/>
      <sz val="9"/>
    </font>
    <font>
      <name val="Arial"/>
      <b val="1"/>
      <sz val="10"/>
    </font>
    <font>
      <name val="Arial"/>
      <b val="1"/>
      <color rgb="FFFFFFFF"/>
      <sz val="9"/>
    </font>
    <font>
      <name val="Arial"/>
      <b val="1"/>
      <color rgb="FF1F4E4A"/>
      <sz val="14"/>
    </font>
  </fonts>
  <fills count="5">
    <fill>
      <patternFill/>
    </fill>
    <fill>
      <patternFill patternType="gray125"/>
    </fill>
    <fill>
      <patternFill patternType="solid">
        <fgColor rgb="FF49A698"/>
      </patternFill>
    </fill>
    <fill>
      <patternFill patternType="solid">
        <fgColor rgb="FFF2F2F2"/>
      </patternFill>
    </fill>
    <fill>
      <patternFill patternType="solid">
        <fgColor rgb="FFFFF2AC"/>
      </patternFill>
    </fill>
  </fills>
  <borders count="2">
    <border>
      <left/>
      <right/>
      <top/>
      <bottom/>
      <diagonal/>
    </border>
    <border>
      <bottom style="thin">
        <color rgb="FFE0E8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0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125" customWidth="1" min="2" max="2"/>
  </cols>
  <sheetData>
    <row r="2">
      <c r="B2" s="1" t="inlineStr">
        <is>
          <t>Validate &amp; Finalize Spine Target Accounts by PL</t>
        </is>
      </c>
    </row>
    <row r="4">
      <c r="B4" s="2" t="inlineStr">
        <is>
          <t>Assigned to: Joel C. · Project owner: Joe MacLean · Source: B2C/B2B Spine Growth Operating Report v4 (B2B appts thru Jul 10; MMC thru Jul 16)</t>
        </is>
      </c>
    </row>
    <row r="6">
      <c r="B6" s="3" t="inlineStr">
        <is>
          <t>OBJECTIVE</t>
        </is>
      </c>
    </row>
    <row r="7">
      <c r="B7" s="2" t="inlineStr">
        <is>
          <t>Convert the referral-weighted 848-account workbook (Kristen 180 · Jasmine 310 · Coty 318 · Sean 40) into a PL-validated, field-ready universe with efficient ≤10-stop routes. Counts will decrease/shift as PLs validate.</t>
        </is>
      </c>
    </row>
    <row r="9">
      <c r="B9" s="3" t="inlineStr">
        <is>
          <t>REALISTIC TIMELINE (adjusted from request — 2 changes, both flagged)</t>
        </is>
      </c>
    </row>
    <row r="10">
      <c r="B10" s="2" t="inlineStr">
        <is>
          <t>Wed Jul 23 — Review files distributed (this workbook; a day EARLIER than requested Jul 24, so PLs get the weekend). Intro at Thursday Jul 24 debrief.</t>
        </is>
      </c>
    </row>
    <row r="11">
      <c r="B11" s="2" t="inlineStr">
        <is>
          <t>Tue Jul 29 EOD — PL dispositions complete (~180–320 rows each ≈ 60–90 min/day office time; does NOT displace the Week-1/2 protect sweep already running).</t>
        </is>
      </c>
    </row>
    <row r="12">
      <c r="B12" s="2" t="inlineStr">
        <is>
          <t>Wed Jul 30 — Joel consolidates dispositions; resolves cross-PL conflicts (one account = one PL).</t>
        </is>
      </c>
    </row>
    <row r="13">
      <c r="B13" s="2" t="inlineStr">
        <is>
          <t>Thu Jul 31 — Approved universe locked; routes regenerated (scripted — hours, not days); summary to Joe + Kristen.</t>
        </is>
      </c>
    </row>
    <row r="14">
      <c r="B14" s="2" t="inlineStr">
        <is>
          <t>Mon Aug 3 — Week-3 field execution runs on the CLEANED universe. Sept 30 — execution complete.</t>
        </is>
      </c>
    </row>
    <row r="16">
      <c r="B16" s="3" t="inlineStr">
        <is>
          <t>THE ONE DECISION THE TIMELINE DEPENDS ON (flag to Joe/Kristen — do not bury):</t>
        </is>
      </c>
    </row>
    <row r="17">
      <c r="B17" s="2" t="inlineStr">
        <is>
          <t>"Complete outreach by Sept 30" has two modes. A) Protect-first (current build): producers on 14/21-day cycles + ~3 spine days/PL/week → all producers + ~270 of 466 prospects touched; ~200 lowest-score prospects roll to Oct. B) Full-coverage-once: every kept account visited by Sept 30 → needs ~4.5–5 spine days/PL/week from Aug 3 AND thinner producer cadence. Pick A or B explicitly at the Jul 31 sign-off; promising B while resourcing A is how this fails.</t>
        </is>
      </c>
    </row>
    <row r="19">
      <c r="B19" s="3" t="inlineStr">
        <is>
          <t>ACCEPTANCE CRITERIA (from request — all covered by this workbook)</t>
        </is>
      </c>
    </row>
    <row r="20">
      <c r="B20" s="2" t="inlineStr">
        <is>
          <t>Every account gets a documented disposition · every removal/reassignment has a reason · no account on two PL routes (consolidation step) · Tier 1/2 protected (they stay on cadence during review) · kept prospects are legitimate spine opportunities · routes ≤10 stops, geographic · last visit / cadence / referral history / visit→patient lag visible (pre-filled columns) · final summary auto-counts on the Summary tab.</t>
        </is>
      </c>
    </row>
    <row r="22">
      <c r="B22" s="3" t="inlineStr">
        <is>
          <t>HOW TO USE (PLs)</t>
        </is>
      </c>
    </row>
    <row r="23">
      <c r="B23" s="2" t="inlineStr">
        <is>
          <t>Yellow columns are yours. Row 2 on your tab is a worked EXAMPLE. Disposition every row (Keep / Remove / Reassign). Pre-Flag column shows auto-detected issues (pediatric, addiction, in-house spine, competitor, Medicaid-likely) — confirm or override them; producing accounts flagged KEEP need a relationship check, not deletion. No patient information in notes.</t>
        </is>
      </c>
    </row>
    <row r="25">
      <c r="B25" s="2" t="inlineStr">
        <is>
          <t>Sean tab: dispositions default to Coty reassignment if Sean′s June-9 activity stall is confirmed (Kristen decides by Jul 24).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9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9" customWidth="1" min="15" max="15"/>
    <col width="15" customWidth="1" min="16" max="16"/>
    <col width="32" customWidth="1" min="17" max="17"/>
    <col width="34" customWidth="1" min="18" max="18"/>
    <col width="30" customWidth="1" min="19" max="19"/>
    <col width="12" customWidth="1" min="20" max="20"/>
    <col width="14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26" customWidth="1" min="27" max="27"/>
    <col width="28" customWidth="1" min="28" max="28"/>
  </cols>
  <sheetData>
    <row r="1">
      <c r="A1" s="4" t="inlineStr">
        <is>
          <t>Account / Practice</t>
        </is>
      </c>
      <c r="B1" s="4" t="inlineStr">
        <is>
          <t>MMC Company ID</t>
        </is>
      </c>
      <c r="C1" s="4" t="inlineStr">
        <is>
          <t>Practice Type</t>
        </is>
      </c>
      <c r="D1" s="4" t="inlineStr">
        <is>
          <t>Tier</t>
        </is>
      </c>
      <c r="E1" s="4" t="inlineStr">
        <is>
          <t>Referral Evidence Band</t>
        </is>
      </c>
      <c r="F1" s="4" t="inlineStr">
        <is>
          <t>Target Score</t>
        </is>
      </c>
      <c r="G1" s="4" t="inlineStr">
        <is>
          <t>Spine 2026</t>
        </is>
      </c>
      <c r="H1" s="4" t="inlineStr">
        <is>
          <t>Ortho 2026</t>
        </is>
      </c>
      <c r="I1" s="4" t="inlineStr">
        <is>
          <t>Total B2B 2026</t>
        </is>
      </c>
      <c r="J1" s="4" t="inlineStr">
        <is>
          <t>Last Spine Patient</t>
        </is>
      </c>
      <c r="K1" s="4" t="inlineStr">
        <is>
          <t>Last Completed Visit</t>
        </is>
      </c>
      <c r="L1" s="4" t="inlineStr">
        <is>
          <t>Days Since Visit</t>
        </is>
      </c>
      <c r="M1" s="4" t="inlineStr">
        <is>
          <t>Median Visit→Appt Lag</t>
        </is>
      </c>
      <c r="N1" s="4" t="inlineStr">
        <is>
          <t>Planned Cadence (d)</t>
        </is>
      </c>
      <c r="O1" s="4" t="inlineStr">
        <is>
          <t>Route Day</t>
        </is>
      </c>
      <c r="P1" s="4" t="inlineStr">
        <is>
          <t>City</t>
        </is>
      </c>
      <c r="Q1" s="4" t="inlineStr">
        <is>
          <t>Full Address</t>
        </is>
      </c>
      <c r="R1" s="4" t="inlineStr">
        <is>
          <t>Known Referring Providers</t>
        </is>
      </c>
      <c r="S1" s="4" t="inlineStr">
        <is>
          <t>Pre-Flag (auto)</t>
        </is>
      </c>
      <c r="T1" s="4" t="inlineStr">
        <is>
          <t>Disposition</t>
        </is>
      </c>
      <c r="U1" s="4" t="inlineStr">
        <is>
          <t>Final Practice Type</t>
        </is>
      </c>
      <c r="V1" s="4" t="inlineStr">
        <is>
          <t>Final Tier</t>
        </is>
      </c>
      <c r="W1" s="4" t="inlineStr">
        <is>
          <t>Spine Opportunity</t>
        </is>
      </c>
      <c r="X1" s="4" t="inlineStr">
        <is>
          <t>Employed Spine/Neuro Provider?</t>
        </is>
      </c>
      <c r="Y1" s="4" t="inlineStr">
        <is>
          <t>Competitor / Referral Restriction?</t>
        </is>
      </c>
      <c r="Z1" s="4" t="inlineStr">
        <is>
          <t>Recommended Cadence (d)</t>
        </is>
      </c>
      <c r="AA1" s="4" t="inlineStr">
        <is>
          <t>Removal / Reassignment Reason</t>
        </is>
      </c>
      <c r="AB1" s="4" t="inlineStr">
        <is>
          <t>PL Notes</t>
        </is>
      </c>
    </row>
    <row r="2">
      <c r="A2" s="5" t="inlineStr">
        <is>
          <t>[EXAMPLE] Sample Family Medicine</t>
        </is>
      </c>
      <c r="B2" s="5" t="inlineStr">
        <is>
          <t>—</t>
        </is>
      </c>
      <c r="C2" s="5" t="inlineStr">
        <is>
          <t>PCP</t>
        </is>
      </c>
      <c r="D2" s="5" t="inlineStr">
        <is>
          <t>Tier 2</t>
        </is>
      </c>
      <c r="E2" s="5" t="inlineStr">
        <is>
          <t>Ortho Referrer</t>
        </is>
      </c>
      <c r="F2" s="5" t="n">
        <v>48</v>
      </c>
      <c r="G2" s="5" t="n">
        <v>0</v>
      </c>
      <c r="H2" s="5" t="n">
        <v>3</v>
      </c>
      <c r="I2" s="5" t="n">
        <v>4</v>
      </c>
      <c r="J2" s="5" t="inlineStr"/>
      <c r="K2" s="5" t="inlineStr">
        <is>
          <t>2026-06-12</t>
        </is>
      </c>
      <c r="L2" s="5" t="n">
        <v>39</v>
      </c>
      <c r="M2" s="5" t="inlineStr"/>
      <c r="N2" s="5" t="inlineStr">
        <is>
          <t>21</t>
        </is>
      </c>
      <c r="O2" s="5" t="inlineStr">
        <is>
          <t>K-D03</t>
        </is>
      </c>
      <c r="P2" s="5" t="inlineStr">
        <is>
          <t>Livonia</t>
        </is>
      </c>
      <c r="Q2" s="5" t="inlineStr">
        <is>
          <t>123 Example Rd</t>
        </is>
      </c>
      <c r="R2" s="5" t="inlineStr">
        <is>
          <t>Dr. A. Sample (3 ortho)</t>
        </is>
      </c>
      <c r="S2" s="5" t="inlineStr"/>
      <c r="T2" s="5" t="inlineStr">
        <is>
          <t>Keep</t>
        </is>
      </c>
      <c r="U2" s="5" t="inlineStr">
        <is>
          <t>PCP</t>
        </is>
      </c>
      <c r="V2" s="5" t="inlineStr">
        <is>
          <t>Tier 2</t>
        </is>
      </c>
      <c r="W2" s="5" t="inlineStr">
        <is>
          <t>Medium</t>
        </is>
      </c>
      <c r="X2" s="5" t="inlineStr">
        <is>
          <t>No</t>
        </is>
      </c>
      <c r="Y2" s="5" t="inlineStr">
        <is>
          <t>No</t>
        </is>
      </c>
      <c r="Z2" s="5" t="inlineStr">
        <is>
          <t>21</t>
        </is>
      </c>
      <c r="AA2" s="5" t="inlineStr"/>
      <c r="AB2" s="5" t="inlineStr">
        <is>
          <t>Solid ortho sender; pitch spine pathway next visit</t>
        </is>
      </c>
    </row>
    <row r="3">
      <c r="A3" s="6" t="inlineStr">
        <is>
          <t>Mike Morse Law Firm</t>
        </is>
      </c>
      <c r="B3" s="6" t="inlineStr">
        <is>
          <t>2dd4a698-eeec-4552-98ba-d85b130bcc56</t>
        </is>
      </c>
      <c r="C3" s="6" t="inlineStr">
        <is>
          <t>Attorney / Legal</t>
        </is>
      </c>
      <c r="D3" s="6" t="inlineStr">
        <is>
          <t>Tier 1</t>
        </is>
      </c>
      <c r="E3" s="6" t="inlineStr">
        <is>
          <t>Repeat Spine Referrer</t>
        </is>
      </c>
      <c r="F3" s="6" t="n">
        <v>98</v>
      </c>
      <c r="G3" s="6" t="n">
        <v>75</v>
      </c>
      <c r="H3" s="6" t="inlineStr">
        <is>
          <t>18</t>
        </is>
      </c>
      <c r="I3" s="6" t="inlineStr">
        <is>
          <t>94</t>
        </is>
      </c>
      <c r="J3" s="6" t="inlineStr">
        <is>
          <t>2026-06-24</t>
        </is>
      </c>
      <c r="K3" s="6" t="inlineStr">
        <is>
          <t>2026-06-24</t>
        </is>
      </c>
      <c r="L3" s="6" t="inlineStr">
        <is>
          <t>22</t>
        </is>
      </c>
      <c r="M3" s="6" t="inlineStr">
        <is>
          <t>28</t>
        </is>
      </c>
      <c r="N3" s="6" t="inlineStr">
        <is>
          <t>14</t>
        </is>
      </c>
      <c r="O3" s="6" t="inlineStr">
        <is>
          <t>K-D01</t>
        </is>
      </c>
      <c r="P3" s="6" t="inlineStr">
        <is>
          <t>Southfield</t>
        </is>
      </c>
      <c r="Q3" s="6" t="inlineStr">
        <is>
          <t>24901 Northwestern Highway, Southfield, Michigan, 48075</t>
        </is>
      </c>
      <c r="R3" s="6" t="inlineStr">
        <is>
          <t>Mike Morse (75 spine)</t>
        </is>
      </c>
      <c r="S3" s="6" t="inlineStr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6" t="inlineStr">
        <is>
          <t>Hesselberg Chiropractic</t>
        </is>
      </c>
      <c r="B4" s="6" t="inlineStr">
        <is>
          <t>83b9dec3-57ee-4777-b000-fcb1c228e6c7</t>
        </is>
      </c>
      <c r="C4" s="6" t="inlineStr">
        <is>
          <t>Chiropractor</t>
        </is>
      </c>
      <c r="D4" s="6" t="inlineStr">
        <is>
          <t>Tier 1</t>
        </is>
      </c>
      <c r="E4" s="6" t="inlineStr">
        <is>
          <t>Repeat Spine Referrer</t>
        </is>
      </c>
      <c r="F4" s="6" t="n">
        <v>97</v>
      </c>
      <c r="G4" s="6" t="n">
        <v>23</v>
      </c>
      <c r="H4" s="6" t="inlineStr">
        <is>
          <t>0</t>
        </is>
      </c>
      <c r="I4" s="6" t="inlineStr">
        <is>
          <t>23</t>
        </is>
      </c>
      <c r="J4" s="6" t="inlineStr">
        <is>
          <t>2026-06-17</t>
        </is>
      </c>
      <c r="K4" s="6" t="inlineStr">
        <is>
          <t>2026-04-27</t>
        </is>
      </c>
      <c r="L4" s="6" t="inlineStr">
        <is>
          <t>80</t>
        </is>
      </c>
      <c r="M4" s="6" t="inlineStr">
        <is>
          <t>25</t>
        </is>
      </c>
      <c r="N4" s="6" t="inlineStr">
        <is>
          <t>14</t>
        </is>
      </c>
      <c r="O4" s="6" t="inlineStr">
        <is>
          <t>K-D05</t>
        </is>
      </c>
      <c r="P4" s="6" t="inlineStr">
        <is>
          <t>Ypsilanti</t>
        </is>
      </c>
      <c r="Q4" s="6" t="inlineStr">
        <is>
          <t>2900 Packard Street, Ypsilanti, Michigan, 48197</t>
        </is>
      </c>
      <c r="R4" s="6" t="inlineStr">
        <is>
          <t>Jason Joseph Hesselberg, DC (22 spine) · Jason Dc Hesselberg (1 spine)</t>
        </is>
      </c>
      <c r="S4" s="6" t="inlineStr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6" t="inlineStr">
        <is>
          <t>Michigan Auto Law</t>
        </is>
      </c>
      <c r="B5" s="6" t="inlineStr">
        <is>
          <t>8bd62ae0-e836-472d-84f6-a85688fd5524</t>
        </is>
      </c>
      <c r="C5" s="6" t="inlineStr">
        <is>
          <t>Attorney / Legal</t>
        </is>
      </c>
      <c r="D5" s="6" t="inlineStr">
        <is>
          <t>Tier 1</t>
        </is>
      </c>
      <c r="E5" s="6" t="inlineStr">
        <is>
          <t>Repeat Spine Referrer</t>
        </is>
      </c>
      <c r="F5" s="6" t="n">
        <v>97</v>
      </c>
      <c r="G5" s="6" t="n">
        <v>10</v>
      </c>
      <c r="H5" s="6" t="inlineStr">
        <is>
          <t>5</t>
        </is>
      </c>
      <c r="I5" s="6" t="inlineStr">
        <is>
          <t>15</t>
        </is>
      </c>
      <c r="J5" s="6" t="inlineStr">
        <is>
          <t>2026-06-17</t>
        </is>
      </c>
      <c r="K5" s="6" t="inlineStr">
        <is>
          <t>2026-04-29</t>
        </is>
      </c>
      <c r="L5" s="6" t="inlineStr">
        <is>
          <t>78</t>
        </is>
      </c>
      <c r="M5" s="6" t="inlineStr">
        <is>
          <t>10</t>
        </is>
      </c>
      <c r="N5" s="6" t="inlineStr">
        <is>
          <t>14</t>
        </is>
      </c>
      <c r="O5" s="6" t="inlineStr">
        <is>
          <t>K-D02</t>
        </is>
      </c>
      <c r="P5" s="6" t="inlineStr">
        <is>
          <t>Farmington Hills</t>
        </is>
      </c>
      <c r="Q5" s="6" t="inlineStr">
        <is>
          <t>30101 Northwestern Hwy, Farmington Hills, Michigan, 48334</t>
        </is>
      </c>
      <c r="R5" s="6" t="inlineStr">
        <is>
          <t>Mi Auto Law (9 spine) · Michigan Auto Law (1 spine) · Kevin Seiferheld (1 ortho)</t>
        </is>
      </c>
      <c r="S5" s="6" t="inlineStr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6" t="inlineStr">
        <is>
          <t>Park Medical Centers</t>
        </is>
      </c>
      <c r="B6" s="6" t="inlineStr">
        <is>
          <t>92913d4d-edc4-462b-aecf-ef3f54198f09</t>
        </is>
      </c>
      <c r="C6" s="6" t="inlineStr">
        <is>
          <t>PCP</t>
        </is>
      </c>
      <c r="D6" s="6" t="inlineStr">
        <is>
          <t>Tier 1</t>
        </is>
      </c>
      <c r="E6" s="6" t="inlineStr">
        <is>
          <t>Repeat Spine Referrer</t>
        </is>
      </c>
      <c r="F6" s="6" t="n">
        <v>99</v>
      </c>
      <c r="G6" s="6" t="n">
        <v>5</v>
      </c>
      <c r="H6" s="6" t="inlineStr">
        <is>
          <t>7</t>
        </is>
      </c>
      <c r="I6" s="6" t="inlineStr">
        <is>
          <t>12</t>
        </is>
      </c>
      <c r="J6" s="6" t="inlineStr">
        <is>
          <t>2026-06-02</t>
        </is>
      </c>
      <c r="K6" s="6" t="inlineStr">
        <is>
          <t>2026-06-30</t>
        </is>
      </c>
      <c r="L6" s="6" t="inlineStr">
        <is>
          <t>16</t>
        </is>
      </c>
      <c r="M6" s="6" t="inlineStr">
        <is>
          <t>27.5</t>
        </is>
      </c>
      <c r="N6" s="6" t="inlineStr">
        <is>
          <t>14</t>
        </is>
      </c>
      <c r="O6" s="6" t="inlineStr">
        <is>
          <t>K-D05</t>
        </is>
      </c>
      <c r="P6" s="6" t="inlineStr">
        <is>
          <t>Livonia</t>
        </is>
      </c>
      <c r="Q6" s="6" t="inlineStr">
        <is>
          <t>38253 Ann Arbor Road, Livonia, Michigan, 48150</t>
        </is>
      </c>
      <c r="R6" s="6" t="inlineStr">
        <is>
          <t>Richard Ozog, DO (4 spine) · Kathryn Marie Poulos, PA (1 spine)</t>
        </is>
      </c>
      <c r="S6" s="6" t="inlineStr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>
      <c r="A7" s="6" t="inlineStr">
        <is>
          <t>Kajy Law</t>
        </is>
      </c>
      <c r="B7" s="6" t="inlineStr">
        <is>
          <t>3b453978-15f0-429d-ab43-67d84178b21f</t>
        </is>
      </c>
      <c r="C7" s="6" t="inlineStr">
        <is>
          <t>Attorney / Legal</t>
        </is>
      </c>
      <c r="D7" s="6" t="inlineStr">
        <is>
          <t>Tier 1</t>
        </is>
      </c>
      <c r="E7" s="6" t="inlineStr">
        <is>
          <t>Repeat Spine Referrer</t>
        </is>
      </c>
      <c r="F7" s="6" t="n">
        <v>98</v>
      </c>
      <c r="G7" s="6" t="n">
        <v>5</v>
      </c>
      <c r="H7" s="6" t="inlineStr">
        <is>
          <t>0</t>
        </is>
      </c>
      <c r="I7" s="6" t="inlineStr">
        <is>
          <t>5</t>
        </is>
      </c>
      <c r="J7" s="6" t="inlineStr">
        <is>
          <t>2026-05-21</t>
        </is>
      </c>
      <c r="K7" s="6" t="inlineStr">
        <is>
          <t>2026-06-29</t>
        </is>
      </c>
      <c r="L7" s="6" t="inlineStr">
        <is>
          <t>17</t>
        </is>
      </c>
      <c r="M7" s="6" t="inlineStr">
        <is>
          <t>9</t>
        </is>
      </c>
      <c r="N7" s="6" t="inlineStr">
        <is>
          <t>14</t>
        </is>
      </c>
      <c r="O7" s="6" t="inlineStr">
        <is>
          <t>K-D06</t>
        </is>
      </c>
      <c r="P7" s="6" t="inlineStr">
        <is>
          <t>Southfield</t>
        </is>
      </c>
      <c r="Q7" s="6" t="inlineStr">
        <is>
          <t>18000 W Nine Mile Rd suite 1400, Southfield, Michigan, 48075</t>
        </is>
      </c>
      <c r="R7" s="6" t="inlineStr">
        <is>
          <t>Kajy Law (5 spine)</t>
        </is>
      </c>
      <c r="S7" s="6" t="inlineStr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>
      <c r="A8" s="6" t="inlineStr">
        <is>
          <t>Henry Ford Primary Care Center - 160</t>
        </is>
      </c>
      <c r="B8" s="6" t="inlineStr">
        <is>
          <t>b6033c7f-ac4e-4957-b3b0-519077da6c8d</t>
        </is>
      </c>
      <c r="C8" s="6" t="inlineStr">
        <is>
          <t>PCP</t>
        </is>
      </c>
      <c r="D8" s="6" t="inlineStr">
        <is>
          <t>Tier 1</t>
        </is>
      </c>
      <c r="E8" s="6" t="inlineStr">
        <is>
          <t>Repeat Spine Referrer</t>
        </is>
      </c>
      <c r="F8" s="6" t="n">
        <v>97</v>
      </c>
      <c r="G8" s="6" t="n">
        <v>5</v>
      </c>
      <c r="H8" s="6" t="inlineStr">
        <is>
          <t>0</t>
        </is>
      </c>
      <c r="I8" s="6" t="inlineStr">
        <is>
          <t>6</t>
        </is>
      </c>
      <c r="J8" s="6" t="inlineStr">
        <is>
          <t>2026-05-20</t>
        </is>
      </c>
      <c r="K8" s="6" t="inlineStr">
        <is>
          <t>2026-05-08</t>
        </is>
      </c>
      <c r="L8" s="6" t="inlineStr">
        <is>
          <t>69</t>
        </is>
      </c>
      <c r="M8" s="6" t="inlineStr">
        <is>
          <t>24.5</t>
        </is>
      </c>
      <c r="N8" s="6" t="inlineStr">
        <is>
          <t>14</t>
        </is>
      </c>
      <c r="O8" s="6" t="inlineStr">
        <is>
          <t>K-D02</t>
        </is>
      </c>
      <c r="P8" s="6" t="inlineStr">
        <is>
          <t>Farmington Hills</t>
        </is>
      </c>
      <c r="Q8" s="6" t="inlineStr">
        <is>
          <t>30055 Northwestern Hwy, Farmington Hills, Michigan, 48334</t>
        </is>
      </c>
      <c r="R8" s="6" t="inlineStr">
        <is>
          <t>May Antone, MD (4 spine) · Neeran Bajouka, MD (1 spine) · Neeran Yosif Bajouka, MD</t>
        </is>
      </c>
      <c r="S8" s="6" t="inlineStr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>
      <c r="A9" s="6" t="inlineStr">
        <is>
          <t>DMC PRIMARY AND SPECIALTY CARE WEST BLOOMFIELD</t>
        </is>
      </c>
      <c r="B9" s="6" t="inlineStr">
        <is>
          <t>e1df3a06-b408-47d1-8333-8e5c30e7bc97</t>
        </is>
      </c>
      <c r="C9" s="6" t="inlineStr">
        <is>
          <t>PCP</t>
        </is>
      </c>
      <c r="D9" s="6" t="inlineStr">
        <is>
          <t>Tier 1</t>
        </is>
      </c>
      <c r="E9" s="6" t="inlineStr">
        <is>
          <t>Repeat Spine Referrer</t>
        </is>
      </c>
      <c r="F9" s="6" t="n">
        <v>97</v>
      </c>
      <c r="G9" s="6" t="n">
        <v>5</v>
      </c>
      <c r="H9" s="6" t="inlineStr">
        <is>
          <t>1</t>
        </is>
      </c>
      <c r="I9" s="6" t="inlineStr">
        <is>
          <t>6</t>
        </is>
      </c>
      <c r="J9" s="6" t="inlineStr">
        <is>
          <t>2026-07-08</t>
        </is>
      </c>
      <c r="K9" s="6" t="inlineStr">
        <is>
          <t>2026-05-07</t>
        </is>
      </c>
      <c r="L9" s="6" t="inlineStr">
        <is>
          <t>70</t>
        </is>
      </c>
      <c r="M9" s="6" t="inlineStr">
        <is>
          <t>37</t>
        </is>
      </c>
      <c r="N9" s="6" t="inlineStr">
        <is>
          <t>14</t>
        </is>
      </c>
      <c r="O9" s="6" t="inlineStr">
        <is>
          <t>K-D07</t>
        </is>
      </c>
      <c r="P9" s="6" t="inlineStr">
        <is>
          <t>WEST BLOOMFIELD</t>
        </is>
      </c>
      <c r="Q9" s="6" t="inlineStr">
        <is>
          <t>6525 W MAPLE RD STE 101E, WEST BLOOMFIELD, MI, 48322</t>
        </is>
      </c>
      <c r="R9" s="6" t="inlineStr">
        <is>
          <t>Mark Aronov, DO (3 spine) · Madhumitha Krishnamoorthy (2 spine)</t>
        </is>
      </c>
      <c r="S9" s="6" t="inlineStr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>
      <c r="A10" s="6" t="inlineStr">
        <is>
          <t>Stonebrooke Family Physicians</t>
        </is>
      </c>
      <c r="B10" s="6" t="inlineStr">
        <is>
          <t>c9013f02-25d6-4df2-96f8-b4f1e9936878</t>
        </is>
      </c>
      <c r="C10" s="6" t="inlineStr">
        <is>
          <t>PCP</t>
        </is>
      </c>
      <c r="D10" s="6" t="inlineStr">
        <is>
          <t>Tier 1</t>
        </is>
      </c>
      <c r="E10" s="6" t="inlineStr">
        <is>
          <t>Repeat Spine Referrer</t>
        </is>
      </c>
      <c r="F10" s="6" t="n">
        <v>97</v>
      </c>
      <c r="G10" s="6" t="n">
        <v>5</v>
      </c>
      <c r="H10" s="6" t="inlineStr">
        <is>
          <t>5</t>
        </is>
      </c>
      <c r="I10" s="6" t="inlineStr">
        <is>
          <t>17</t>
        </is>
      </c>
      <c r="J10" s="6" t="inlineStr">
        <is>
          <t>2026-07-09</t>
        </is>
      </c>
      <c r="K10" s="6" t="inlineStr">
        <is>
          <t>2026-06-10</t>
        </is>
      </c>
      <c r="L10" s="6" t="inlineStr">
        <is>
          <t>36</t>
        </is>
      </c>
      <c r="M10" s="6" t="inlineStr">
        <is>
          <t>36</t>
        </is>
      </c>
      <c r="N10" s="6" t="inlineStr">
        <is>
          <t>14</t>
        </is>
      </c>
      <c r="O10" s="6" t="inlineStr">
        <is>
          <t>K-D09</t>
        </is>
      </c>
      <c r="P10" s="6" t="inlineStr">
        <is>
          <t>Rochester Hills</t>
        </is>
      </c>
      <c r="Q10" s="6" t="inlineStr">
        <is>
          <t>2940 Crooks Rd, Rochester Hills, Michigan, 48309</t>
        </is>
      </c>
      <c r="R10" s="6" t="inlineStr">
        <is>
          <t>Ronald Bellisario, MD (2 spine) · Jennifer Haener, DO (1 spine) · Matthew T Ewald, MD (1 spine) · Elizabeth Ryman, PA (1 spine) · Katherine Becker Mitzner, DO (1 ortho) · Stacey Kastl, MD</t>
        </is>
      </c>
      <c r="S10" s="6" t="inlineStr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>
      <c r="A11" s="6" t="inlineStr">
        <is>
          <t>Ross Law</t>
        </is>
      </c>
      <c r="B11" s="6" t="inlineStr">
        <is>
          <t>86e7413a-57df-4cba-adee-c6d0a8e55b63</t>
        </is>
      </c>
      <c r="C11" s="6" t="inlineStr">
        <is>
          <t>Attorney / Legal</t>
        </is>
      </c>
      <c r="D11" s="6" t="inlineStr">
        <is>
          <t>Tier 1</t>
        </is>
      </c>
      <c r="E11" s="6" t="inlineStr">
        <is>
          <t>Repeat Spine Referrer</t>
        </is>
      </c>
      <c r="F11" s="6" t="n">
        <v>96</v>
      </c>
      <c r="G11" s="6" t="n">
        <v>5</v>
      </c>
      <c r="H11" s="6" t="inlineStr">
        <is>
          <t>2</t>
        </is>
      </c>
      <c r="I11" s="6" t="inlineStr">
        <is>
          <t>7</t>
        </is>
      </c>
      <c r="J11" s="6" t="inlineStr">
        <is>
          <t>2026-06-22</t>
        </is>
      </c>
      <c r="K11" s="6" t="inlineStr">
        <is>
          <t>2026-05-29</t>
        </is>
      </c>
      <c r="L11" s="6" t="inlineStr">
        <is>
          <t>48</t>
        </is>
      </c>
      <c r="M11" s="6" t="inlineStr">
        <is>
          <t>14</t>
        </is>
      </c>
      <c r="N11" s="6" t="inlineStr">
        <is>
          <t>14</t>
        </is>
      </c>
      <c r="O11" s="6" t="inlineStr">
        <is>
          <t>K-D03</t>
        </is>
      </c>
      <c r="P11" s="6" t="inlineStr">
        <is>
          <t>Southfield</t>
        </is>
      </c>
      <c r="Q11" s="6" t="inlineStr">
        <is>
          <t>29200 Northwestern Hwy, Southfield, Michigan, 48034</t>
        </is>
      </c>
      <c r="R11" s="6" t="inlineStr">
        <is>
          <t>Ross Law (5 spine)</t>
        </is>
      </c>
      <c r="S11" s="6" t="inlineStr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>
      <c r="A12" s="6" t="inlineStr">
        <is>
          <t>Applebaum &amp; Stone</t>
        </is>
      </c>
      <c r="B12" s="6" t="inlineStr">
        <is>
          <t>89b27066-bd8f-45eb-b2ec-e3196a89a16c</t>
        </is>
      </c>
      <c r="C12" s="6" t="inlineStr">
        <is>
          <t>Attorney / Legal</t>
        </is>
      </c>
      <c r="D12" s="6" t="inlineStr">
        <is>
          <t>Tier 1</t>
        </is>
      </c>
      <c r="E12" s="6" t="inlineStr">
        <is>
          <t>Repeat Spine Referrer</t>
        </is>
      </c>
      <c r="F12" s="6" t="n">
        <v>95</v>
      </c>
      <c r="G12" s="6" t="n">
        <v>5</v>
      </c>
      <c r="H12" s="6" t="inlineStr">
        <is>
          <t>2</t>
        </is>
      </c>
      <c r="I12" s="6" t="inlineStr">
        <is>
          <t>7</t>
        </is>
      </c>
      <c r="J12" s="6" t="inlineStr">
        <is>
          <t>2026-06-26</t>
        </is>
      </c>
      <c r="K12" s="6" t="inlineStr">
        <is>
          <t>2026-03-16</t>
        </is>
      </c>
      <c r="L12" s="6" t="inlineStr">
        <is>
          <t>122</t>
        </is>
      </c>
      <c r="M12" s="6" t="inlineStr">
        <is>
          <t>58</t>
        </is>
      </c>
      <c r="N12" s="6" t="inlineStr">
        <is>
          <t>14</t>
        </is>
      </c>
      <c r="O12" s="6" t="inlineStr">
        <is>
          <t>K-D10</t>
        </is>
      </c>
      <c r="P12" s="6" t="inlineStr">
        <is>
          <t>Southfield</t>
        </is>
      </c>
      <c r="Q12" s="6" t="inlineStr">
        <is>
          <t>26777 Central Park Blvd suite 300, Southfield, Michigan, 48076</t>
        </is>
      </c>
      <c r="R12" s="6" t="inlineStr">
        <is>
          <t>Applebaum and Stone (5 spine)</t>
        </is>
      </c>
      <c r="S12" s="6" t="inlineStr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>
      <c r="A13" s="6" t="inlineStr">
        <is>
          <t>Vanstone Injury Law</t>
        </is>
      </c>
      <c r="B13" s="6" t="inlineStr">
        <is>
          <t>5ffbe2ff-83ec-4e24-8d4f-4071334a9c5c</t>
        </is>
      </c>
      <c r="C13" s="6" t="inlineStr">
        <is>
          <t>Attorney / Legal</t>
        </is>
      </c>
      <c r="D13" s="6" t="inlineStr">
        <is>
          <t>Tier 1</t>
        </is>
      </c>
      <c r="E13" s="6" t="inlineStr">
        <is>
          <t>Repeat Spine Referrer</t>
        </is>
      </c>
      <c r="F13" s="6" t="n">
        <v>94</v>
      </c>
      <c r="G13" s="6" t="n">
        <v>5</v>
      </c>
      <c r="H13" s="6" t="inlineStr">
        <is>
          <t>0</t>
        </is>
      </c>
      <c r="I13" s="6" t="inlineStr">
        <is>
          <t>5</t>
        </is>
      </c>
      <c r="J13" s="6" t="inlineStr">
        <is>
          <t>2026-05-07</t>
        </is>
      </c>
      <c r="K13" s="6" t="inlineStr">
        <is>
          <t>2026-02-27</t>
        </is>
      </c>
      <c r="L13" s="6" t="inlineStr">
        <is>
          <t>139</t>
        </is>
      </c>
      <c r="M13" s="6" t="inlineStr">
        <is>
          <t>10</t>
        </is>
      </c>
      <c r="N13" s="6" t="inlineStr">
        <is>
          <t>14</t>
        </is>
      </c>
      <c r="O13" s="6" t="inlineStr">
        <is>
          <t>K-D11</t>
        </is>
      </c>
      <c r="P13" s="6" t="n">
        <v/>
      </c>
      <c r="Q13" s="6" t="inlineStr">
        <is>
          <t>7031 Orchard Lake Rd West Bloomfield Township, Michigan, 48322</t>
        </is>
      </c>
      <c r="R13" s="6" t="inlineStr">
        <is>
          <t>Vanstone Law (3 spine) · Vanstone (2 spine)</t>
        </is>
      </c>
      <c r="S13" s="6" t="inlineStr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>
      <c r="A14" s="6" t="inlineStr">
        <is>
          <t>DMC Orthopedics - Commerce Township</t>
        </is>
      </c>
      <c r="B14" s="6" t="inlineStr">
        <is>
          <t>568c9052-985c-48fa-b5bc-44baafba3dea</t>
        </is>
      </c>
      <c r="C14" s="6" t="inlineStr">
        <is>
          <t>Orthopedic</t>
        </is>
      </c>
      <c r="D14" s="6" t="inlineStr">
        <is>
          <t>Tier 1</t>
        </is>
      </c>
      <c r="E14" s="6" t="inlineStr">
        <is>
          <t>Repeat Spine Referrer</t>
        </is>
      </c>
      <c r="F14" s="6" t="n">
        <v>91</v>
      </c>
      <c r="G14" s="6" t="n">
        <v>3</v>
      </c>
      <c r="H14" s="6" t="inlineStr">
        <is>
          <t>0</t>
        </is>
      </c>
      <c r="I14" s="6" t="inlineStr">
        <is>
          <t>3</t>
        </is>
      </c>
      <c r="J14" s="6" t="inlineStr">
        <is>
          <t>2026-07-06</t>
        </is>
      </c>
      <c r="K14" s="6" t="inlineStr">
        <is>
          <t>2026-07-07</t>
        </is>
      </c>
      <c r="L14" s="6" t="inlineStr">
        <is>
          <t>9</t>
        </is>
      </c>
      <c r="M14" s="6" t="inlineStr">
        <is>
          <t>0</t>
        </is>
      </c>
      <c r="N14" s="6" t="inlineStr">
        <is>
          <t>14</t>
        </is>
      </c>
      <c r="O14" s="6" t="inlineStr">
        <is>
          <t>K-D07</t>
        </is>
      </c>
      <c r="P14" s="6" t="n">
        <v/>
      </c>
      <c r="Q14" s="6" t="inlineStr">
        <is>
          <t>1 William Carls Drive, Michigan, 48382</t>
        </is>
      </c>
      <c r="R14" s="6" t="inlineStr">
        <is>
          <t>Mark Mackey, MD (1 spine)</t>
        </is>
      </c>
      <c r="S14" s="6" t="inlineStr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>
      <c r="A15" s="6" t="inlineStr">
        <is>
          <t>Hermann Banks MD PC</t>
        </is>
      </c>
      <c r="B15" s="6" t="inlineStr">
        <is>
          <t>31597599-5a74-4f7a-8cb0-0ebbb4b41303</t>
        </is>
      </c>
      <c r="C15" s="6" t="inlineStr">
        <is>
          <t>Neurology</t>
        </is>
      </c>
      <c r="D15" s="6" t="inlineStr">
        <is>
          <t>Tier 1</t>
        </is>
      </c>
      <c r="E15" s="6" t="inlineStr">
        <is>
          <t>Repeat Spine Referrer</t>
        </is>
      </c>
      <c r="F15" s="6" t="n">
        <v>91</v>
      </c>
      <c r="G15" s="6" t="n">
        <v>3</v>
      </c>
      <c r="H15" s="6" t="inlineStr">
        <is>
          <t>0</t>
        </is>
      </c>
      <c r="I15" s="6" t="inlineStr">
        <is>
          <t>3</t>
        </is>
      </c>
      <c r="J15" s="6" t="inlineStr">
        <is>
          <t>2026-06-29</t>
        </is>
      </c>
      <c r="K15" s="6" t="inlineStr">
        <is>
          <t>2026-06-29</t>
        </is>
      </c>
      <c r="L15" s="6" t="inlineStr">
        <is>
          <t>17</t>
        </is>
      </c>
      <c r="M15" s="6" t="inlineStr">
        <is>
          <t>26</t>
        </is>
      </c>
      <c r="N15" s="6" t="inlineStr">
        <is>
          <t>14</t>
        </is>
      </c>
      <c r="O15" s="6" t="inlineStr">
        <is>
          <t>K-D08</t>
        </is>
      </c>
      <c r="P15" s="6" t="inlineStr">
        <is>
          <t>Livonia</t>
        </is>
      </c>
      <c r="Q15" s="6" t="inlineStr">
        <is>
          <t>14700 Farmington Rd, Livonia, Michigan, 48154</t>
        </is>
      </c>
      <c r="R15" s="6" t="inlineStr">
        <is>
          <t>Hermann Darwin Banks (2 spine) · Hermann Banks, MD (1 spine)</t>
        </is>
      </c>
      <c r="S15" s="6" t="inlineStr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>
      <c r="A16" s="6" t="inlineStr">
        <is>
          <t>Levine Clinic of Chiropractic</t>
        </is>
      </c>
      <c r="B16" s="6" t="inlineStr">
        <is>
          <t>e19f7675-d86b-445b-ad8d-c06409bfde92</t>
        </is>
      </c>
      <c r="C16" s="6" t="inlineStr">
        <is>
          <t>Chiropractor</t>
        </is>
      </c>
      <c r="D16" s="6" t="inlineStr">
        <is>
          <t>Tier 1</t>
        </is>
      </c>
      <c r="E16" s="6" t="inlineStr">
        <is>
          <t>Repeat Spine Referrer</t>
        </is>
      </c>
      <c r="F16" s="6" t="n">
        <v>90</v>
      </c>
      <c r="G16" s="6" t="n">
        <v>3</v>
      </c>
      <c r="H16" s="6" t="inlineStr">
        <is>
          <t>1</t>
        </is>
      </c>
      <c r="I16" s="6" t="inlineStr">
        <is>
          <t>5</t>
        </is>
      </c>
      <c r="J16" s="6" t="inlineStr">
        <is>
          <t>2026-06-01</t>
        </is>
      </c>
      <c r="K16" s="6" t="inlineStr">
        <is>
          <t>2026-05-08</t>
        </is>
      </c>
      <c r="L16" s="6" t="inlineStr">
        <is>
          <t>69</t>
        </is>
      </c>
      <c r="M16" s="6" t="inlineStr">
        <is>
          <t>9</t>
        </is>
      </c>
      <c r="N16" s="6" t="inlineStr">
        <is>
          <t>14</t>
        </is>
      </c>
      <c r="O16" s="6" t="inlineStr">
        <is>
          <t>K-D03</t>
        </is>
      </c>
      <c r="P16" s="6" t="inlineStr">
        <is>
          <t>Farmington Hills</t>
        </is>
      </c>
      <c r="Q16" s="6" t="inlineStr">
        <is>
          <t>31390 Northwestern Hwy., Ste C, Farmington Hills, Michigan, 48334</t>
        </is>
      </c>
      <c r="R16" s="6" t="inlineStr">
        <is>
          <t>Richard Levine, DC (3 spine)</t>
        </is>
      </c>
      <c r="S16" s="6" t="inlineStr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>
      <c r="A17" s="6" t="inlineStr">
        <is>
          <t>Beaumont Medical Center - Redford</t>
        </is>
      </c>
      <c r="B17" s="6" t="inlineStr">
        <is>
          <t>03095e36-e586-4709-8cd8-440a98b9bcd7</t>
        </is>
      </c>
      <c r="C17" s="6" t="inlineStr">
        <is>
          <t>PCP</t>
        </is>
      </c>
      <c r="D17" s="6" t="inlineStr">
        <is>
          <t>Tier 1</t>
        </is>
      </c>
      <c r="E17" s="6" t="inlineStr">
        <is>
          <t>Repeat Spine Referrer</t>
        </is>
      </c>
      <c r="F17" s="6" t="n">
        <v>89</v>
      </c>
      <c r="G17" s="6" t="n">
        <v>3</v>
      </c>
      <c r="H17" s="6" t="inlineStr">
        <is>
          <t>20</t>
        </is>
      </c>
      <c r="I17" s="6" t="inlineStr">
        <is>
          <t>23</t>
        </is>
      </c>
      <c r="J17" s="6" t="inlineStr">
        <is>
          <t>2026-06-12</t>
        </is>
      </c>
      <c r="K17" s="6" t="inlineStr">
        <is>
          <t>2026-05-01</t>
        </is>
      </c>
      <c r="L17" s="6" t="inlineStr">
        <is>
          <t>76</t>
        </is>
      </c>
      <c r="M17" s="6" t="inlineStr">
        <is>
          <t>33</t>
        </is>
      </c>
      <c r="N17" s="6" t="inlineStr">
        <is>
          <t>14</t>
        </is>
      </c>
      <c r="O17" s="6" t="inlineStr">
        <is>
          <t>K-D01</t>
        </is>
      </c>
      <c r="P17" s="6" t="inlineStr">
        <is>
          <t>Redford Charter Township</t>
        </is>
      </c>
      <c r="Q17" s="6" t="inlineStr">
        <is>
          <t>15540 Beech Daly, Redford Charter Township, Michigan, 48239</t>
        </is>
      </c>
      <c r="R17" s="6" t="inlineStr">
        <is>
          <t>Liza Weathersby, MD (2 spine) · Britani Alyce Marshall, MD (1 spine) · Britani Marshall, MD (1 ortho)</t>
        </is>
      </c>
      <c r="S17" s="6" t="inlineStr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>
      <c r="A18" s="6" t="inlineStr">
        <is>
          <t>Lifetime Family Care</t>
        </is>
      </c>
      <c r="B18" s="6" t="inlineStr">
        <is>
          <t>b70053c3-f0fd-41de-9386-95fcc448a738</t>
        </is>
      </c>
      <c r="C18" s="6" t="inlineStr">
        <is>
          <t>PCP</t>
        </is>
      </c>
      <c r="D18" s="6" t="inlineStr">
        <is>
          <t>Tier 1</t>
        </is>
      </c>
      <c r="E18" s="6" t="inlineStr">
        <is>
          <t>Repeat Spine Referrer</t>
        </is>
      </c>
      <c r="F18" s="6" t="n">
        <v>89</v>
      </c>
      <c r="G18" s="6" t="n">
        <v>3</v>
      </c>
      <c r="H18" s="6" t="inlineStr">
        <is>
          <t>0</t>
        </is>
      </c>
      <c r="I18" s="6" t="inlineStr">
        <is>
          <t>3</t>
        </is>
      </c>
      <c r="J18" s="6" t="inlineStr">
        <is>
          <t>2026-03-20</t>
        </is>
      </c>
      <c r="K18" s="6" t="inlineStr">
        <is>
          <t>2026-06-15</t>
        </is>
      </c>
      <c r="L18" s="6" t="inlineStr">
        <is>
          <t>31</t>
        </is>
      </c>
      <c r="M18" s="6" t="inlineStr">
        <is>
          <t>66</t>
        </is>
      </c>
      <c r="N18" s="6" t="inlineStr">
        <is>
          <t>14</t>
        </is>
      </c>
      <c r="O18" s="6" t="inlineStr">
        <is>
          <t>K-D06</t>
        </is>
      </c>
      <c r="P18" s="6" t="inlineStr">
        <is>
          <t>Madison Heights</t>
        </is>
      </c>
      <c r="Q18" s="6" t="inlineStr">
        <is>
          <t>26393 Dequindre Rd, Madison Heights, Michigan, 48071</t>
        </is>
      </c>
      <c r="R18" s="6" t="inlineStr">
        <is>
          <t>Erica Balysh, DO (1 spine) · Colin David Orrin, DO (1 spine) · Erica N Balysh, DO (1 spine)</t>
        </is>
      </c>
      <c r="S18" s="6" t="inlineStr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>
      <c r="A19" s="6" t="inlineStr">
        <is>
          <t>GARDEN CITY FAMILY PHYSICIANS</t>
        </is>
      </c>
      <c r="B19" s="6" t="inlineStr">
        <is>
          <t>be4c4280-49d5-443c-b413-3471ee753d27</t>
        </is>
      </c>
      <c r="C19" s="6" t="inlineStr">
        <is>
          <t>PCP</t>
        </is>
      </c>
      <c r="D19" s="6" t="inlineStr">
        <is>
          <t>Tier 1</t>
        </is>
      </c>
      <c r="E19" s="6" t="inlineStr">
        <is>
          <t>Repeat Spine Referrer</t>
        </is>
      </c>
      <c r="F19" s="6" t="n">
        <v>89</v>
      </c>
      <c r="G19" s="6" t="n">
        <v>3</v>
      </c>
      <c r="H19" s="6" t="inlineStr">
        <is>
          <t>3</t>
        </is>
      </c>
      <c r="I19" s="6" t="inlineStr">
        <is>
          <t>6</t>
        </is>
      </c>
      <c r="J19" s="6" t="inlineStr">
        <is>
          <t>2026-05-18</t>
        </is>
      </c>
      <c r="K19" s="6" t="inlineStr">
        <is>
          <t>2026-06-05</t>
        </is>
      </c>
      <c r="L19" s="6" t="inlineStr">
        <is>
          <t>41</t>
        </is>
      </c>
      <c r="M19" s="6" t="inlineStr">
        <is>
          <t>30.5</t>
        </is>
      </c>
      <c r="N19" s="6" t="inlineStr">
        <is>
          <t>14</t>
        </is>
      </c>
      <c r="O19" s="6" t="inlineStr">
        <is>
          <t>K-D12</t>
        </is>
      </c>
      <c r="P19" s="6" t="inlineStr">
        <is>
          <t>GARDEN CITY</t>
        </is>
      </c>
      <c r="Q19" s="6" t="inlineStr">
        <is>
          <t>30900 FORD RD STE B, GARDEN CITY, MI, 48135</t>
        </is>
      </c>
      <c r="R19" s="6" t="inlineStr">
        <is>
          <t>Angelica Francu, MD (3 spine)</t>
        </is>
      </c>
      <c r="S19" s="6" t="inlineStr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>
      <c r="A20" s="6" t="inlineStr">
        <is>
          <t>Village Medical - Livonia</t>
        </is>
      </c>
      <c r="B20" s="6" t="inlineStr">
        <is>
          <t>e3d707da-675d-4d7c-9356-2f53ec4d8a2e</t>
        </is>
      </c>
      <c r="C20" s="6" t="inlineStr">
        <is>
          <t>PCP</t>
        </is>
      </c>
      <c r="D20" s="6" t="inlineStr">
        <is>
          <t>Tier 1</t>
        </is>
      </c>
      <c r="E20" s="6" t="inlineStr">
        <is>
          <t>Repeat Spine Referrer</t>
        </is>
      </c>
      <c r="F20" s="6" t="n">
        <v>85</v>
      </c>
      <c r="G20" s="6" t="n">
        <v>2</v>
      </c>
      <c r="H20" s="6" t="inlineStr">
        <is>
          <t>4</t>
        </is>
      </c>
      <c r="I20" s="6" t="inlineStr">
        <is>
          <t>6</t>
        </is>
      </c>
      <c r="J20" s="6" t="inlineStr">
        <is>
          <t>2026-06-23</t>
        </is>
      </c>
      <c r="K20" s="6" t="inlineStr">
        <is>
          <t>2026-06-30</t>
        </is>
      </c>
      <c r="L20" s="6" t="inlineStr">
        <is>
          <t>16</t>
        </is>
      </c>
      <c r="M20" s="6" t="inlineStr">
        <is>
          <t>40.5</t>
        </is>
      </c>
      <c r="N20" s="6" t="inlineStr">
        <is>
          <t>14</t>
        </is>
      </c>
      <c r="O20" s="6" t="inlineStr">
        <is>
          <t>K-D08</t>
        </is>
      </c>
      <c r="P20" s="6" t="inlineStr">
        <is>
          <t>Livonia</t>
        </is>
      </c>
      <c r="Q20" s="6" t="inlineStr">
        <is>
          <t>17800 Newburgh Road, Livonia, Michigan, 48152</t>
        </is>
      </c>
      <c r="R20" s="6" t="inlineStr">
        <is>
          <t>Martin Erickson, DO (1 spine) · Village Medical Livonia (1 spine) · Sherri Rosenfeld, DO (2 ortho) · Paul Jackson, DO (1 ortho) · Joann Van Oast, PA (1 ortho)</t>
        </is>
      </c>
      <c r="S20" s="6" t="inlineStr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>
      <c r="A21" s="6" t="inlineStr">
        <is>
          <t>Pulmonary &amp; Medical Associates</t>
        </is>
      </c>
      <c r="B21" s="6" t="inlineStr">
        <is>
          <t>dda630a5-9d61-49cd-bec6-61084e47ddb9</t>
        </is>
      </c>
      <c r="C21" s="6" t="inlineStr">
        <is>
          <t>PCP</t>
        </is>
      </c>
      <c r="D21" s="6" t="inlineStr">
        <is>
          <t>Tier 1</t>
        </is>
      </c>
      <c r="E21" s="6" t="inlineStr">
        <is>
          <t>Repeat Spine Referrer</t>
        </is>
      </c>
      <c r="F21" s="6" t="n">
        <v>85</v>
      </c>
      <c r="G21" s="6" t="n">
        <v>2</v>
      </c>
      <c r="H21" s="6" t="inlineStr">
        <is>
          <t>5</t>
        </is>
      </c>
      <c r="I21" s="6" t="inlineStr">
        <is>
          <t>8</t>
        </is>
      </c>
      <c r="J21" s="6" t="inlineStr">
        <is>
          <t>2026-07-09</t>
        </is>
      </c>
      <c r="K21" s="6" t="inlineStr">
        <is>
          <t>2026-07-13</t>
        </is>
      </c>
      <c r="L21" s="6" t="inlineStr">
        <is>
          <t>3</t>
        </is>
      </c>
      <c r="M21" s="6" t="inlineStr">
        <is>
          <t>47.5</t>
        </is>
      </c>
      <c r="N21" s="6" t="inlineStr">
        <is>
          <t>14</t>
        </is>
      </c>
      <c r="O21" s="6" t="inlineStr">
        <is>
          <t>K-D13</t>
        </is>
      </c>
      <c r="P21" s="6" t="inlineStr">
        <is>
          <t>Warren</t>
        </is>
      </c>
      <c r="Q21" s="6" t="inlineStr">
        <is>
          <t>27472 Schoenherr Rd #100, Warren, MI, 48088</t>
        </is>
      </c>
      <c r="R21" s="6" t="inlineStr">
        <is>
          <t>Shanna Pearson, DO (2 spine)</t>
        </is>
      </c>
      <c r="S21" s="6" t="inlineStr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>
      <c r="A22" s="6" t="inlineStr">
        <is>
          <t>Powers Family Medicine</t>
        </is>
      </c>
      <c r="B22" s="6" t="inlineStr">
        <is>
          <t>00-761-7874</t>
        </is>
      </c>
      <c r="C22" s="6" t="inlineStr">
        <is>
          <t>PCP</t>
        </is>
      </c>
      <c r="D22" s="6" t="inlineStr">
        <is>
          <t>Tier 1</t>
        </is>
      </c>
      <c r="E22" s="6" t="inlineStr">
        <is>
          <t>Repeat Spine Referrer</t>
        </is>
      </c>
      <c r="F22" s="6" t="n">
        <v>84</v>
      </c>
      <c r="G22" s="6" t="n">
        <v>2</v>
      </c>
      <c r="H22" s="6" t="inlineStr">
        <is>
          <t>1</t>
        </is>
      </c>
      <c r="I22" s="6" t="inlineStr">
        <is>
          <t>3</t>
        </is>
      </c>
      <c r="J22" s="6" t="inlineStr">
        <is>
          <t>2026-04-20</t>
        </is>
      </c>
      <c r="K22" s="6" t="inlineStr">
        <is>
          <t>2026-05-13</t>
        </is>
      </c>
      <c r="L22" s="6" t="inlineStr">
        <is>
          <t>64</t>
        </is>
      </c>
      <c r="M22" s="6" t="inlineStr">
        <is>
          <t>57</t>
        </is>
      </c>
      <c r="N22" s="6" t="inlineStr">
        <is>
          <t>14</t>
        </is>
      </c>
      <c r="O22" s="6" t="inlineStr">
        <is>
          <t>K-D01</t>
        </is>
      </c>
      <c r="P22" s="6" t="inlineStr">
        <is>
          <t>Farmington Hills</t>
        </is>
      </c>
      <c r="Q22" s="6" t="inlineStr">
        <is>
          <t>23700 Orchard Lake Rd, Farmington Hills, MI, 48336-2559</t>
        </is>
      </c>
      <c r="R22" s="6" t="inlineStr">
        <is>
          <t>Sommer Shefferly, PA-C (2 spine) · William John Powers, DO (1 ortho)</t>
        </is>
      </c>
      <c r="S22" s="6" t="inlineStr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>
      <c r="A23" s="6" t="inlineStr">
        <is>
          <t>Medical Clinic of Northville</t>
        </is>
      </c>
      <c r="B23" s="6" t="inlineStr">
        <is>
          <t>ebcb6f7a-eb6b-4759-81d9-516e3dc36b67</t>
        </is>
      </c>
      <c r="C23" s="6" t="inlineStr">
        <is>
          <t>PCP</t>
        </is>
      </c>
      <c r="D23" s="6" t="inlineStr">
        <is>
          <t>Tier 1</t>
        </is>
      </c>
      <c r="E23" s="6" t="inlineStr">
        <is>
          <t>Repeat Spine Referrer</t>
        </is>
      </c>
      <c r="F23" s="6" t="n">
        <v>84</v>
      </c>
      <c r="G23" s="6" t="n">
        <v>2</v>
      </c>
      <c r="H23" s="6" t="inlineStr">
        <is>
          <t>16</t>
        </is>
      </c>
      <c r="I23" s="6" t="inlineStr">
        <is>
          <t>18</t>
        </is>
      </c>
      <c r="J23" s="6" t="inlineStr">
        <is>
          <t>2026-06-26</t>
        </is>
      </c>
      <c r="K23" s="6" t="inlineStr">
        <is>
          <t>2026-06-04</t>
        </is>
      </c>
      <c r="L23" s="6" t="inlineStr">
        <is>
          <t>42</t>
        </is>
      </c>
      <c r="M23" s="6" t="inlineStr">
        <is>
          <t>22</t>
        </is>
      </c>
      <c r="N23" s="6" t="inlineStr">
        <is>
          <t>14</t>
        </is>
      </c>
      <c r="O23" s="6" t="inlineStr">
        <is>
          <t>K-D14</t>
        </is>
      </c>
      <c r="P23" s="6" t="inlineStr">
        <is>
          <t>Northville</t>
        </is>
      </c>
      <c r="Q23" s="6" t="inlineStr">
        <is>
          <t>308 S Main St, Northville, Michigan, 48167</t>
        </is>
      </c>
      <c r="R23" s="6" t="inlineStr">
        <is>
          <t>Ross A Summers, MD (1 spine) · Cheryl Anne Johnstone, MD (1 spine) · Mirella F Ducu, MD (5 ortho) · Mirella Ducu, MD (3 ortho) · Ross Summers, MD (2 ortho) · Lauren Cislo, PA (1 ortho)</t>
        </is>
      </c>
      <c r="S23" s="6" t="inlineStr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>
      <c r="A24" s="6" t="inlineStr">
        <is>
          <t>Village Medical Farmington</t>
        </is>
      </c>
      <c r="B24" s="6" t="inlineStr">
        <is>
          <t>8a6ae159-0242-4272-b933-bd11fc117733</t>
        </is>
      </c>
      <c r="C24" s="6" t="inlineStr">
        <is>
          <t>PCP</t>
        </is>
      </c>
      <c r="D24" s="6" t="inlineStr">
        <is>
          <t>Tier 1</t>
        </is>
      </c>
      <c r="E24" s="6" t="inlineStr">
        <is>
          <t>Repeat Spine Referrer</t>
        </is>
      </c>
      <c r="F24" s="6" t="n">
        <v>83</v>
      </c>
      <c r="G24" s="6" t="n">
        <v>2</v>
      </c>
      <c r="H24" s="6" t="inlineStr">
        <is>
          <t>1</t>
        </is>
      </c>
      <c r="I24" s="6" t="inlineStr">
        <is>
          <t>4</t>
        </is>
      </c>
      <c r="J24" s="6" t="inlineStr">
        <is>
          <t>2026-05-21</t>
        </is>
      </c>
      <c r="K24" s="6" t="inlineStr">
        <is>
          <t>2026-05-11</t>
        </is>
      </c>
      <c r="L24" s="6" t="inlineStr">
        <is>
          <t>66</t>
        </is>
      </c>
      <c r="M24" s="6" t="inlineStr">
        <is>
          <t>26</t>
        </is>
      </c>
      <c r="N24" s="6" t="inlineStr">
        <is>
          <t>14</t>
        </is>
      </c>
      <c r="O24" s="6" t="inlineStr">
        <is>
          <t>K-D01</t>
        </is>
      </c>
      <c r="P24" s="6" t="inlineStr">
        <is>
          <t>Farmington</t>
        </is>
      </c>
      <c r="Q24" s="6" t="inlineStr">
        <is>
          <t>23133 Orchard Lake Rd, Farmington, Michigan, 48336</t>
        </is>
      </c>
      <c r="R24" s="6" t="inlineStr">
        <is>
          <t>Sandra Sabb, MD (1 spine) · Sheldon L Stern, DO (1 spine) · Sheldon Stern, DO</t>
        </is>
      </c>
      <c r="S24" s="6" t="inlineStr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>
      <c r="A25" s="6" t="inlineStr">
        <is>
          <t>MedPro Primary Care</t>
        </is>
      </c>
      <c r="B25" s="6" t="inlineStr">
        <is>
          <t>eebb725b-b031-43b9-a3d7-bfa83d77bc18</t>
        </is>
      </c>
      <c r="C25" s="6" t="inlineStr">
        <is>
          <t>Urgent Care</t>
        </is>
      </c>
      <c r="D25" s="6" t="inlineStr">
        <is>
          <t>Tier 1</t>
        </is>
      </c>
      <c r="E25" s="6" t="inlineStr">
        <is>
          <t>Repeat Spine Referrer</t>
        </is>
      </c>
      <c r="F25" s="6" t="n">
        <v>83</v>
      </c>
      <c r="G25" s="6" t="n">
        <v>2</v>
      </c>
      <c r="H25" s="6" t="inlineStr">
        <is>
          <t>2</t>
        </is>
      </c>
      <c r="I25" s="6" t="inlineStr">
        <is>
          <t>4</t>
        </is>
      </c>
      <c r="J25" s="6" t="inlineStr">
        <is>
          <t>2026-04-10</t>
        </is>
      </c>
      <c r="K25" s="6" t="inlineStr">
        <is>
          <t>2026-06-15</t>
        </is>
      </c>
      <c r="L25" s="6" t="inlineStr">
        <is>
          <t>31</t>
        </is>
      </c>
      <c r="M25" s="6" t="inlineStr">
        <is>
          <t>30.5</t>
        </is>
      </c>
      <c r="N25" s="6" t="inlineStr">
        <is>
          <t>14</t>
        </is>
      </c>
      <c r="O25" s="6" t="inlineStr">
        <is>
          <t>K-D04</t>
        </is>
      </c>
      <c r="P25" s="6" t="inlineStr">
        <is>
          <t>Madison Heights</t>
        </is>
      </c>
      <c r="Q25" s="6" t="inlineStr">
        <is>
          <t>31005 John R Rd suite a, Madison Heights, Michigan, 48071</t>
        </is>
      </c>
      <c r="R25" s="6" t="inlineStr">
        <is>
          <t>Jaclyn Weber, PA (2 spine) · Samantha Demarce, NP (1 ortho)</t>
        </is>
      </c>
      <c r="S25" s="6" t="inlineStr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>
      <c r="A26" s="6" t="inlineStr">
        <is>
          <t>Oakland Family Practice</t>
        </is>
      </c>
      <c r="B26" s="6" t="inlineStr">
        <is>
          <t>13ba57d5-6bc6-4d44-8d40-efd8e7131d2e</t>
        </is>
      </c>
      <c r="C26" s="6" t="inlineStr">
        <is>
          <t>PCP</t>
        </is>
      </c>
      <c r="D26" s="6" t="inlineStr">
        <is>
          <t>Tier 1</t>
        </is>
      </c>
      <c r="E26" s="6" t="inlineStr">
        <is>
          <t>Repeat Spine Referrer</t>
        </is>
      </c>
      <c r="F26" s="6" t="n">
        <v>83</v>
      </c>
      <c r="G26" s="6" t="n">
        <v>2</v>
      </c>
      <c r="H26" s="6" t="inlineStr">
        <is>
          <t>13</t>
        </is>
      </c>
      <c r="I26" s="6" t="inlineStr">
        <is>
          <t>17</t>
        </is>
      </c>
      <c r="J26" s="6" t="inlineStr">
        <is>
          <t>2026-07-08</t>
        </is>
      </c>
      <c r="K26" s="6" t="inlineStr">
        <is>
          <t>2026-06-15</t>
        </is>
      </c>
      <c r="L26" s="6" t="inlineStr">
        <is>
          <t>31</t>
        </is>
      </c>
      <c r="M26" s="6" t="inlineStr">
        <is>
          <t>23</t>
        </is>
      </c>
      <c r="N26" s="6" t="inlineStr">
        <is>
          <t>14</t>
        </is>
      </c>
      <c r="O26" s="6" t="inlineStr">
        <is>
          <t>K-D04</t>
        </is>
      </c>
      <c r="P26" s="6" t="inlineStr">
        <is>
          <t>Warren</t>
        </is>
      </c>
      <c r="Q26" s="6" t="inlineStr">
        <is>
          <t>27650 Dequindre Road, Suite 2000, Warren, Michigan, 48092</t>
        </is>
      </c>
      <c r="R26" s="6" t="inlineStr">
        <is>
          <t>Zachary Kranz, DO (2 spine) · Ronald Hirsch, DO (5 ortho) · Keith Hoffman Msw (3 ortho) · Rachel Hetzner D, NP (2 ortho) · Michelle Millman Fnp-c (1 ortho)</t>
        </is>
      </c>
      <c r="S26" s="6" t="inlineStr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>
      <c r="A27" s="6" t="inlineStr">
        <is>
          <t>Metro Medical Practice</t>
        </is>
      </c>
      <c r="B27" s="6" t="inlineStr">
        <is>
          <t>60-080-4525</t>
        </is>
      </c>
      <c r="C27" s="6" t="inlineStr">
        <is>
          <t>PCP</t>
        </is>
      </c>
      <c r="D27" s="6" t="inlineStr">
        <is>
          <t>Tier 1</t>
        </is>
      </c>
      <c r="E27" s="6" t="inlineStr">
        <is>
          <t>Repeat Spine Referrer</t>
        </is>
      </c>
      <c r="F27" s="6" t="n">
        <v>83</v>
      </c>
      <c r="G27" s="6" t="n">
        <v>2</v>
      </c>
      <c r="H27" s="6" t="inlineStr">
        <is>
          <t>1</t>
        </is>
      </c>
      <c r="I27" s="6" t="inlineStr">
        <is>
          <t>3</t>
        </is>
      </c>
      <c r="J27" s="6" t="inlineStr">
        <is>
          <t>2026-03-26</t>
        </is>
      </c>
      <c r="K27" s="6" t="inlineStr">
        <is>
          <t>2026-05-18</t>
        </is>
      </c>
      <c r="L27" s="6" t="inlineStr">
        <is>
          <t>59</t>
        </is>
      </c>
      <c r="M27" s="6" t="inlineStr">
        <is>
          <t>42</t>
        </is>
      </c>
      <c r="N27" s="6" t="inlineStr">
        <is>
          <t>14</t>
        </is>
      </c>
      <c r="O27" s="6" t="inlineStr">
        <is>
          <t>K-D04</t>
        </is>
      </c>
      <c r="P27" s="6" t="inlineStr">
        <is>
          <t>Troy</t>
        </is>
      </c>
      <c r="Q27" s="6" t="inlineStr">
        <is>
          <t>2891 E Maple Rd Ste 102, Troy, MI, 48083</t>
        </is>
      </c>
      <c r="R27" s="6" t="inlineStr">
        <is>
          <t>Alicja Bernarda Nerga, MD (2 spine)</t>
        </is>
      </c>
      <c r="S27" s="6" t="inlineStr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6" t="inlineStr">
        <is>
          <t>MNP</t>
        </is>
      </c>
      <c r="B28" s="6" t="inlineStr">
        <is>
          <t>40477f1c-8f50-4f86-8e7e-a5431b7f2fe6</t>
        </is>
      </c>
      <c r="C28" s="6" t="inlineStr">
        <is>
          <t>PCP</t>
        </is>
      </c>
      <c r="D28" s="6" t="inlineStr">
        <is>
          <t>Tier 1</t>
        </is>
      </c>
      <c r="E28" s="6" t="inlineStr">
        <is>
          <t>Repeat Spine Referrer</t>
        </is>
      </c>
      <c r="F28" s="6" t="n">
        <v>83</v>
      </c>
      <c r="G28" s="6" t="n">
        <v>2</v>
      </c>
      <c r="H28" s="6" t="inlineStr">
        <is>
          <t>9</t>
        </is>
      </c>
      <c r="I28" s="6" t="inlineStr">
        <is>
          <t>11</t>
        </is>
      </c>
      <c r="J28" s="6" t="inlineStr">
        <is>
          <t>2026-06-24</t>
        </is>
      </c>
      <c r="K28" s="6" t="inlineStr">
        <is>
          <t>2026-06-22</t>
        </is>
      </c>
      <c r="L28" s="6" t="inlineStr">
        <is>
          <t>24</t>
        </is>
      </c>
      <c r="M28" s="6" t="inlineStr">
        <is>
          <t>19</t>
        </is>
      </c>
      <c r="N28" s="6" t="inlineStr">
        <is>
          <t>14</t>
        </is>
      </c>
      <c r="O28" s="6" t="inlineStr">
        <is>
          <t>K-D15</t>
        </is>
      </c>
      <c r="P28" s="6" t="inlineStr">
        <is>
          <t>Utica</t>
        </is>
      </c>
      <c r="Q28" s="6" t="inlineStr">
        <is>
          <t>44225 Utica Road, Utica, Michigan, 48317</t>
        </is>
      </c>
      <c r="R28" s="6" t="inlineStr">
        <is>
          <t>Kasheena Shropshire, NP (2 spine)</t>
        </is>
      </c>
      <c r="S28" s="6" t="inlineStr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>
      <c r="A29" s="6" t="inlineStr">
        <is>
          <t>Triumph chiropractic</t>
        </is>
      </c>
      <c r="B29" s="6" t="inlineStr">
        <is>
          <t>d99edd32-fb45-4528-94d3-645792efefa1</t>
        </is>
      </c>
      <c r="C29" s="6" t="inlineStr">
        <is>
          <t>Other / Verify</t>
        </is>
      </c>
      <c r="D29" s="6" t="inlineStr">
        <is>
          <t>Tier 1</t>
        </is>
      </c>
      <c r="E29" s="6" t="inlineStr">
        <is>
          <t>Repeat Spine Referrer</t>
        </is>
      </c>
      <c r="F29" s="6" t="n">
        <v>82</v>
      </c>
      <c r="G29" s="6" t="n">
        <v>2</v>
      </c>
      <c r="H29" s="6" t="inlineStr">
        <is>
          <t>0</t>
        </is>
      </c>
      <c r="I29" s="6" t="inlineStr">
        <is>
          <t>2</t>
        </is>
      </c>
      <c r="J29" s="6" t="inlineStr">
        <is>
          <t>2026-04-10</t>
        </is>
      </c>
      <c r="K29" s="6" t="inlineStr">
        <is>
          <t>2026-06-29</t>
        </is>
      </c>
      <c r="L29" s="6" t="inlineStr">
        <is>
          <t>17</t>
        </is>
      </c>
      <c r="M29" s="6" t="inlineStr">
        <is>
          <t>280.5</t>
        </is>
      </c>
      <c r="N29" s="6" t="inlineStr">
        <is>
          <t>14</t>
        </is>
      </c>
      <c r="O29" s="6" t="inlineStr">
        <is>
          <t>K-D01</t>
        </is>
      </c>
      <c r="P29" s="6" t="inlineStr">
        <is>
          <t>Livonia</t>
        </is>
      </c>
      <c r="Q29" s="6" t="inlineStr">
        <is>
          <t>20216 Farmington Road, Livonia, Michigan, 48152</t>
        </is>
      </c>
      <c r="R29" s="6" t="inlineStr">
        <is>
          <t>Alexander Rodnick (2 spine)</t>
        </is>
      </c>
      <c r="S29" s="6" t="inlineStr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>
      <c r="A30" s="6" t="inlineStr">
        <is>
          <t>FARMINGTON HILLS  FAMILY PHYSICIANS, PLLC</t>
        </is>
      </c>
      <c r="B30" s="6" t="inlineStr">
        <is>
          <t>cc6d8767-1fad-4a5b-b658-38a67ea47a1c</t>
        </is>
      </c>
      <c r="C30" s="6" t="inlineStr">
        <is>
          <t>PCP</t>
        </is>
      </c>
      <c r="D30" s="6" t="inlineStr">
        <is>
          <t>Tier 1</t>
        </is>
      </c>
      <c r="E30" s="6" t="inlineStr">
        <is>
          <t>Repeat Spine Referrer</t>
        </is>
      </c>
      <c r="F30" s="6" t="n">
        <v>82</v>
      </c>
      <c r="G30" s="6" t="n">
        <v>2</v>
      </c>
      <c r="H30" s="6" t="inlineStr">
        <is>
          <t>0</t>
        </is>
      </c>
      <c r="I30" s="6" t="inlineStr">
        <is>
          <t>2</t>
        </is>
      </c>
      <c r="J30" s="6" t="inlineStr">
        <is>
          <t>2026-02-24</t>
        </is>
      </c>
      <c r="K30" s="6" t="inlineStr">
        <is>
          <t>2026-05-11</t>
        </is>
      </c>
      <c r="L30" s="6" t="inlineStr">
        <is>
          <t>66</t>
        </is>
      </c>
      <c r="M30" s="6" t="inlineStr">
        <is>
          <t>20.5</t>
        </is>
      </c>
      <c r="N30" s="6" t="inlineStr">
        <is>
          <t>14</t>
        </is>
      </c>
      <c r="O30" s="6" t="inlineStr">
        <is>
          <t>K-D02</t>
        </is>
      </c>
      <c r="P30" s="6" t="inlineStr">
        <is>
          <t>FARMINGTON HILLS</t>
        </is>
      </c>
      <c r="Q30" s="6" t="inlineStr">
        <is>
          <t>29930 W 12 MILE RD STE 6, FARMINGTON HILLS, Michigan</t>
        </is>
      </c>
      <c r="R30" s="6" t="inlineStr">
        <is>
          <t>Mutahhar Ahmad, MD (2 spine)</t>
        </is>
      </c>
      <c r="S30" s="6" t="inlineStr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>
      <c r="A31" s="6" t="inlineStr">
        <is>
          <t>Ivy Rehab - Farmington</t>
        </is>
      </c>
      <c r="B31" s="6" t="inlineStr">
        <is>
          <t>d1393500-eb13-4514-9e0b-427f872ffa8b</t>
        </is>
      </c>
      <c r="C31" s="6" t="inlineStr">
        <is>
          <t>PT</t>
        </is>
      </c>
      <c r="D31" s="6" t="inlineStr">
        <is>
          <t>Tier 1</t>
        </is>
      </c>
      <c r="E31" s="6" t="inlineStr">
        <is>
          <t>Repeat Spine Referrer</t>
        </is>
      </c>
      <c r="F31" s="6" t="n">
        <v>82</v>
      </c>
      <c r="G31" s="6" t="n">
        <v>2</v>
      </c>
      <c r="H31" s="6" t="inlineStr">
        <is>
          <t>1</t>
        </is>
      </c>
      <c r="I31" s="6" t="inlineStr">
        <is>
          <t>3</t>
        </is>
      </c>
      <c r="J31" s="6" t="inlineStr">
        <is>
          <t>2026-07-06</t>
        </is>
      </c>
      <c r="K31" s="6" t="inlineStr">
        <is>
          <t>2026-06-08</t>
        </is>
      </c>
      <c r="L31" s="6" t="inlineStr">
        <is>
          <t>38</t>
        </is>
      </c>
      <c r="M31" s="6" t="inlineStr">
        <is>
          <t>7</t>
        </is>
      </c>
      <c r="N31" s="6" t="inlineStr">
        <is>
          <t>14</t>
        </is>
      </c>
      <c r="O31" s="6" t="inlineStr">
        <is>
          <t>K-D02</t>
        </is>
      </c>
      <c r="P31" s="6" t="inlineStr">
        <is>
          <t>Farmington</t>
        </is>
      </c>
      <c r="Q31" s="6" t="inlineStr">
        <is>
          <t>23330  Rd Farmington, Farmington, Michigan, 48336</t>
        </is>
      </c>
      <c r="R31" s="6" t="inlineStr">
        <is>
          <t>Andrea Aliseo D, PT (2 spine)</t>
        </is>
      </c>
      <c r="S31" s="6" t="inlineStr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>
      <c r="A32" s="6" t="inlineStr">
        <is>
          <t>Carson Center Specialty</t>
        </is>
      </c>
      <c r="B32" s="6" t="inlineStr">
        <is>
          <t>fe708f7e-ac39-4cb4-91fb-ef244909b360</t>
        </is>
      </c>
      <c r="C32" s="6" t="inlineStr">
        <is>
          <t>PCP</t>
        </is>
      </c>
      <c r="D32" s="6" t="inlineStr">
        <is>
          <t>Tier 1</t>
        </is>
      </c>
      <c r="E32" s="6" t="inlineStr">
        <is>
          <t>Repeat Spine Referrer</t>
        </is>
      </c>
      <c r="F32" s="6" t="n">
        <v>82</v>
      </c>
      <c r="G32" s="6" t="n">
        <v>2</v>
      </c>
      <c r="H32" s="6" t="inlineStr">
        <is>
          <t>1</t>
        </is>
      </c>
      <c r="I32" s="6" t="inlineStr">
        <is>
          <t>3</t>
        </is>
      </c>
      <c r="J32" s="6" t="inlineStr">
        <is>
          <t>2026-03-30</t>
        </is>
      </c>
      <c r="K32" s="6" t="inlineStr">
        <is>
          <t>2026-05-27</t>
        </is>
      </c>
      <c r="L32" s="6" t="inlineStr">
        <is>
          <t>50</t>
        </is>
      </c>
      <c r="M32" s="6" t="inlineStr">
        <is>
          <t>26</t>
        </is>
      </c>
      <c r="N32" s="6" t="inlineStr">
        <is>
          <t>14</t>
        </is>
      </c>
      <c r="O32" s="6" t="inlineStr">
        <is>
          <t>K-D03</t>
        </is>
      </c>
      <c r="P32" s="6" t="inlineStr">
        <is>
          <t>SOUTHFIELD</t>
        </is>
      </c>
      <c r="Q32" s="6" t="inlineStr">
        <is>
          <t>29355 NORTHWESTERN HWY STE 120, SOUTHFIELD, MI, 48034</t>
        </is>
      </c>
      <c r="R32" s="6" t="inlineStr">
        <is>
          <t>Yeva Soskina, MD (2 spine)</t>
        </is>
      </c>
      <c r="S32" s="6" t="inlineStr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>
      <c r="A33" s="6" t="inlineStr">
        <is>
          <t>Safir Law</t>
        </is>
      </c>
      <c r="B33" s="6" t="inlineStr">
        <is>
          <t>797c97ec-e6b4-42b3-920e-e16a6364e0c9</t>
        </is>
      </c>
      <c r="C33" s="6" t="inlineStr">
        <is>
          <t>Attorney / Legal</t>
        </is>
      </c>
      <c r="D33" s="6" t="inlineStr">
        <is>
          <t>Tier 1</t>
        </is>
      </c>
      <c r="E33" s="6" t="inlineStr">
        <is>
          <t>Repeat Spine Referrer</t>
        </is>
      </c>
      <c r="F33" s="6" t="n">
        <v>81</v>
      </c>
      <c r="G33" s="6" t="n">
        <v>2</v>
      </c>
      <c r="H33" s="6" t="inlineStr">
        <is>
          <t>0</t>
        </is>
      </c>
      <c r="I33" s="6" t="inlineStr">
        <is>
          <t>2</t>
        </is>
      </c>
      <c r="J33" s="6" t="inlineStr">
        <is>
          <t>2026-03-31</t>
        </is>
      </c>
      <c r="K33" s="6" t="inlineStr">
        <is>
          <t>2026-02-27</t>
        </is>
      </c>
      <c r="L33" s="6" t="inlineStr">
        <is>
          <t>139</t>
        </is>
      </c>
      <c r="M33" s="6" t="inlineStr">
        <is>
          <t>24</t>
        </is>
      </c>
      <c r="N33" s="6" t="inlineStr">
        <is>
          <t>14</t>
        </is>
      </c>
      <c r="O33" s="6" t="inlineStr">
        <is>
          <t>K-D02</t>
        </is>
      </c>
      <c r="P33" s="6" t="inlineStr">
        <is>
          <t>Southfield</t>
        </is>
      </c>
      <c r="Q33" s="6" t="inlineStr">
        <is>
          <t>29110 Inkster Road, Suite 150, Southfield, Michigan, 48034</t>
        </is>
      </c>
      <c r="R33" s="6" t="inlineStr">
        <is>
          <t>Joel Safir (2 spine)</t>
        </is>
      </c>
      <c r="S33" s="6" t="inlineStr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>
      <c r="A34" s="6" t="inlineStr">
        <is>
          <t>Victor Valentino Law</t>
        </is>
      </c>
      <c r="B34" s="6" t="inlineStr">
        <is>
          <t>740ceb33-170d-402e-b5c2-8c204cf2bdf4</t>
        </is>
      </c>
      <c r="C34" s="6" t="inlineStr">
        <is>
          <t>Attorney / Legal</t>
        </is>
      </c>
      <c r="D34" s="6" t="inlineStr">
        <is>
          <t>Tier 1</t>
        </is>
      </c>
      <c r="E34" s="6" t="inlineStr">
        <is>
          <t>Repeat Spine Referrer</t>
        </is>
      </c>
      <c r="F34" s="6" t="n">
        <v>81</v>
      </c>
      <c r="G34" s="6" t="n">
        <v>2</v>
      </c>
      <c r="H34" s="6" t="inlineStr">
        <is>
          <t>1</t>
        </is>
      </c>
      <c r="I34" s="6" t="inlineStr">
        <is>
          <t>3</t>
        </is>
      </c>
      <c r="J34" s="6" t="inlineStr">
        <is>
          <t>2026-04-02</t>
        </is>
      </c>
      <c r="K34" s="6" t="inlineStr">
        <is>
          <t>2026-05-15</t>
        </is>
      </c>
      <c r="L34" s="6" t="inlineStr">
        <is>
          <t>62</t>
        </is>
      </c>
      <c r="M34" s="6" t="inlineStr">
        <is>
          <t>12</t>
        </is>
      </c>
      <c r="N34" s="6" t="inlineStr">
        <is>
          <t>14</t>
        </is>
      </c>
      <c r="O34" s="6" t="inlineStr">
        <is>
          <t>K-D09</t>
        </is>
      </c>
      <c r="P34" s="6" t="n">
        <v/>
      </c>
      <c r="Q34" s="6" t="inlineStr">
        <is>
          <t>43494 Woodward Ave Bloomfield Township, Michigan, 48302</t>
        </is>
      </c>
      <c r="R34" s="6" t="inlineStr">
        <is>
          <t>Victor Valentino (2 spine)</t>
        </is>
      </c>
      <c r="S34" s="6" t="inlineStr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>
      <c r="A35" s="6" t="inlineStr">
        <is>
          <t>Steinberg Law Firm</t>
        </is>
      </c>
      <c r="B35" s="6" t="inlineStr">
        <is>
          <t>8f912f3f-f54b-4694-984f-06c26dcbe2a8</t>
        </is>
      </c>
      <c r="C35" s="6" t="inlineStr">
        <is>
          <t>Attorney / Legal</t>
        </is>
      </c>
      <c r="D35" s="6" t="inlineStr">
        <is>
          <t>Tier 1</t>
        </is>
      </c>
      <c r="E35" s="6" t="inlineStr">
        <is>
          <t>Repeat Spine Referrer</t>
        </is>
      </c>
      <c r="F35" s="6" t="n">
        <v>80</v>
      </c>
      <c r="G35" s="6" t="n">
        <v>2</v>
      </c>
      <c r="H35" s="6" t="inlineStr">
        <is>
          <t>0</t>
        </is>
      </c>
      <c r="I35" s="6" t="inlineStr">
        <is>
          <t>2</t>
        </is>
      </c>
      <c r="J35" s="6" t="inlineStr">
        <is>
          <t>2026-02-13</t>
        </is>
      </c>
      <c r="K35" s="6" t="inlineStr">
        <is>
          <t>2026-04-02</t>
        </is>
      </c>
      <c r="L35" s="6" t="inlineStr">
        <is>
          <t>105</t>
        </is>
      </c>
      <c r="M35" s="6" t="inlineStr">
        <is>
          <t>13</t>
        </is>
      </c>
      <c r="N35" s="6" t="inlineStr">
        <is>
          <t>14</t>
        </is>
      </c>
      <c r="O35" s="6" t="inlineStr">
        <is>
          <t>K-D10</t>
        </is>
      </c>
      <c r="P35" s="6" t="inlineStr">
        <is>
          <t>Southfield</t>
        </is>
      </c>
      <c r="Q35" s="6" t="inlineStr">
        <is>
          <t>29777 Telegraph Rd suite 1555, Southfield, Michigan, 48034</t>
        </is>
      </c>
      <c r="R35" s="6" t="inlineStr">
        <is>
          <t>Eric Steinberg (2 spine)</t>
        </is>
      </c>
      <c r="S35" s="6" t="inlineStr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>
      <c r="A36" s="6" t="inlineStr">
        <is>
          <t>AGHA INTERNAL MEDICINE AND ASSOCIATES, PC</t>
        </is>
      </c>
      <c r="B36" s="6" t="inlineStr">
        <is>
          <t>85fd21cb-8cbc-4ead-9b3d-0cdbecdf7638</t>
        </is>
      </c>
      <c r="C36" s="6" t="inlineStr">
        <is>
          <t>PCP</t>
        </is>
      </c>
      <c r="D36" s="6" t="inlineStr">
        <is>
          <t>Tier 1</t>
        </is>
      </c>
      <c r="E36" s="6" t="inlineStr">
        <is>
          <t>One Spine Patient</t>
        </is>
      </c>
      <c r="F36" s="6" t="n">
        <v>72</v>
      </c>
      <c r="G36" s="6" t="n">
        <v>1</v>
      </c>
      <c r="H36" s="6" t="inlineStr">
        <is>
          <t>2</t>
        </is>
      </c>
      <c r="I36" s="6" t="inlineStr">
        <is>
          <t>3</t>
        </is>
      </c>
      <c r="J36" s="6" t="inlineStr">
        <is>
          <t>2026-06-08</t>
        </is>
      </c>
      <c r="K36" s="6" t="inlineStr">
        <is>
          <t>2026-06-29</t>
        </is>
      </c>
      <c r="L36" s="6" t="inlineStr">
        <is>
          <t>17</t>
        </is>
      </c>
      <c r="M36" s="6" t="inlineStr">
        <is>
          <t>49</t>
        </is>
      </c>
      <c r="N36" s="6" t="inlineStr">
        <is>
          <t>14</t>
        </is>
      </c>
      <c r="O36" s="6" t="inlineStr">
        <is>
          <t>K-D08</t>
        </is>
      </c>
      <c r="P36" s="6" t="inlineStr">
        <is>
          <t>LIVONIA</t>
        </is>
      </c>
      <c r="Q36" s="6" t="inlineStr">
        <is>
          <t>15604 FARMINGTON RD, LIVONIA, MI, 48154</t>
        </is>
      </c>
      <c r="R36" s="6" t="inlineStr">
        <is>
          <t>Hooman Agha, MD (1 spine)</t>
        </is>
      </c>
      <c r="S36" s="6" t="inlineStr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>
      <c r="A37" s="6" t="inlineStr">
        <is>
          <t>Henry Ford Health Medical Center - Seven Mile Road</t>
        </is>
      </c>
      <c r="B37" s="6" t="inlineStr">
        <is>
          <t>44019f00-063b-4cdc-83d9-96ee51f8c6e3</t>
        </is>
      </c>
      <c r="C37" s="6" t="inlineStr">
        <is>
          <t>PCP</t>
        </is>
      </c>
      <c r="D37" s="6" t="inlineStr">
        <is>
          <t>Tier 1</t>
        </is>
      </c>
      <c r="E37" s="6" t="inlineStr">
        <is>
          <t>One Spine Patient</t>
        </is>
      </c>
      <c r="F37" s="6" t="n">
        <v>72</v>
      </c>
      <c r="G37" s="6" t="n">
        <v>1</v>
      </c>
      <c r="H37" s="6" t="inlineStr">
        <is>
          <t>1</t>
        </is>
      </c>
      <c r="I37" s="6" t="inlineStr">
        <is>
          <t>3</t>
        </is>
      </c>
      <c r="J37" s="6" t="inlineStr">
        <is>
          <t>2026-06-17</t>
        </is>
      </c>
      <c r="K37" s="6" t="inlineStr">
        <is>
          <t>2026-06-30</t>
        </is>
      </c>
      <c r="L37" s="6" t="inlineStr">
        <is>
          <t>16</t>
        </is>
      </c>
      <c r="M37" s="6" t="inlineStr">
        <is>
          <t>26</t>
        </is>
      </c>
      <c r="N37" s="6" t="inlineStr">
        <is>
          <t>14</t>
        </is>
      </c>
      <c r="O37" s="6" t="inlineStr">
        <is>
          <t>K-D08</t>
        </is>
      </c>
      <c r="P37" s="6" t="inlineStr">
        <is>
          <t>LIVONIA</t>
        </is>
      </c>
      <c r="Q37" s="6" t="inlineStr">
        <is>
          <t>37508 W SEVEN MILE RD, LIVONIA, Michigan</t>
        </is>
      </c>
      <c r="R37" s="6" t="inlineStr">
        <is>
          <t>Matthew W Benedix, DO (1 spine) · Courtney Mehock, DO (1 ortho)</t>
        </is>
      </c>
      <c r="S37" s="6" t="inlineStr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>
      <c r="A38" s="6" t="inlineStr">
        <is>
          <t>ROSE MEDICINE</t>
        </is>
      </c>
      <c r="B38" s="6" t="inlineStr">
        <is>
          <t>9c2f2817-fae0-4fb0-b943-376aef6fc719</t>
        </is>
      </c>
      <c r="C38" s="6" t="inlineStr">
        <is>
          <t>PCP</t>
        </is>
      </c>
      <c r="D38" s="6" t="inlineStr">
        <is>
          <t>Tier 1</t>
        </is>
      </c>
      <c r="E38" s="6" t="inlineStr">
        <is>
          <t>One Spine Patient</t>
        </is>
      </c>
      <c r="F38" s="6" t="n">
        <v>72</v>
      </c>
      <c r="G38" s="6" t="n">
        <v>1</v>
      </c>
      <c r="H38" s="6" t="inlineStr">
        <is>
          <t>0</t>
        </is>
      </c>
      <c r="I38" s="6" t="inlineStr">
        <is>
          <t>1</t>
        </is>
      </c>
      <c r="J38" s="6" t="inlineStr">
        <is>
          <t>2026-01-09</t>
        </is>
      </c>
      <c r="K38" s="6" t="inlineStr">
        <is>
          <t>2026-07-08</t>
        </is>
      </c>
      <c r="L38" s="6" t="inlineStr">
        <is>
          <t>8</t>
        </is>
      </c>
      <c r="M38" s="6" t="inlineStr">
        <is>
          <t>56</t>
        </is>
      </c>
      <c r="N38" s="6" t="inlineStr">
        <is>
          <t>14</t>
        </is>
      </c>
      <c r="O38" s="6" t="inlineStr">
        <is>
          <t>K-D10</t>
        </is>
      </c>
      <c r="P38" s="6" t="inlineStr">
        <is>
          <t>BINGHAM FARMS</t>
        </is>
      </c>
      <c r="Q38" s="6" t="inlineStr">
        <is>
          <t>31500 TELEGRAPH RD STE 115, BINGHAM FARMS, MI, 48025</t>
        </is>
      </c>
      <c r="R38" s="6" t="inlineStr">
        <is>
          <t>Oluwasayo Akinyosoye, MD (1 spine)</t>
        </is>
      </c>
      <c r="S38" s="6" t="inlineStr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>
      <c r="A39" s="6" t="inlineStr">
        <is>
          <t>Henry Ford Warren Family Physicians</t>
        </is>
      </c>
      <c r="B39" s="6" t="inlineStr">
        <is>
          <t>6771a475-3022-40fd-9db9-b8e0291f7082</t>
        </is>
      </c>
      <c r="C39" s="6" t="inlineStr">
        <is>
          <t>PCP</t>
        </is>
      </c>
      <c r="D39" s="6" t="inlineStr">
        <is>
          <t>Tier 1</t>
        </is>
      </c>
      <c r="E39" s="6" t="inlineStr">
        <is>
          <t>One Spine Patient</t>
        </is>
      </c>
      <c r="F39" s="6" t="n">
        <v>72</v>
      </c>
      <c r="G39" s="6" t="n">
        <v>1</v>
      </c>
      <c r="H39" s="6" t="inlineStr">
        <is>
          <t>2</t>
        </is>
      </c>
      <c r="I39" s="6" t="inlineStr">
        <is>
          <t>4</t>
        </is>
      </c>
      <c r="J39" s="6" t="inlineStr">
        <is>
          <t>2026-05-08</t>
        </is>
      </c>
      <c r="K39" s="6" t="inlineStr">
        <is>
          <t>2026-07-15</t>
        </is>
      </c>
      <c r="L39" s="6" t="inlineStr">
        <is>
          <t>1</t>
        </is>
      </c>
      <c r="M39" s="6" t="inlineStr">
        <is>
          <t>44</t>
        </is>
      </c>
      <c r="N39" s="6" t="inlineStr">
        <is>
          <t>14</t>
        </is>
      </c>
      <c r="O39" s="6" t="inlineStr">
        <is>
          <t>K-D13</t>
        </is>
      </c>
      <c r="P39" s="6" t="inlineStr">
        <is>
          <t>Warren</t>
        </is>
      </c>
      <c r="Q39" s="6" t="inlineStr">
        <is>
          <t>11270 East Thirteen Mile Road, Warren, Michigan, 48093</t>
        </is>
      </c>
      <c r="R39" s="6" t="inlineStr">
        <is>
          <t>Randall Colvin, MD (1 spine) · Kristen Panozzo, DO (2 ortho) · Nabil Rizk, MD</t>
        </is>
      </c>
      <c r="S39" s="6" t="inlineStr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>
      <c r="A40" s="6" t="inlineStr">
        <is>
          <t>Corewell Health-East</t>
        </is>
      </c>
      <c r="B40" s="6" t="inlineStr">
        <is>
          <t>04ad9387-b1fe-45cd-bd14-73188de8e04a</t>
        </is>
      </c>
      <c r="C40" s="6" t="inlineStr">
        <is>
          <t>PCP</t>
        </is>
      </c>
      <c r="D40" s="6" t="inlineStr">
        <is>
          <t>Tier 1</t>
        </is>
      </c>
      <c r="E40" s="6" t="inlineStr">
        <is>
          <t>One Spine Patient</t>
        </is>
      </c>
      <c r="F40" s="6" t="n">
        <v>72</v>
      </c>
      <c r="G40" s="6" t="n">
        <v>1</v>
      </c>
      <c r="H40" s="6" t="inlineStr">
        <is>
          <t>0</t>
        </is>
      </c>
      <c r="I40" s="6" t="inlineStr">
        <is>
          <t>1</t>
        </is>
      </c>
      <c r="J40" s="6" t="inlineStr">
        <is>
          <t>2026-02-25</t>
        </is>
      </c>
      <c r="K40" s="6" t="inlineStr">
        <is>
          <t>2026-07-13</t>
        </is>
      </c>
      <c r="L40" s="6" t="inlineStr">
        <is>
          <t>3</t>
        </is>
      </c>
      <c r="M40" s="6" t="inlineStr">
        <is>
          <t>23</t>
        </is>
      </c>
      <c r="N40" s="6" t="inlineStr">
        <is>
          <t>14</t>
        </is>
      </c>
      <c r="O40" s="6" t="inlineStr">
        <is>
          <t>K-D13</t>
        </is>
      </c>
      <c r="P40" s="6" t="inlineStr">
        <is>
          <t>Warren</t>
        </is>
      </c>
      <c r="Q40" s="6" t="inlineStr">
        <is>
          <t>29245 Ryan Rd suite 300, Warren, Michigan, 48092</t>
        </is>
      </c>
      <c r="R40" s="6" t="inlineStr">
        <is>
          <t>Pu Qin, MD (1 spine)</t>
        </is>
      </c>
      <c r="S40" s="6" t="inlineStr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s="6" t="inlineStr">
        <is>
          <t>Huron Family Practice Center</t>
        </is>
      </c>
      <c r="B41" s="6" t="inlineStr">
        <is>
          <t>60ee8106-1f15-4abf-95a1-c2184761b159</t>
        </is>
      </c>
      <c r="C41" s="6" t="inlineStr">
        <is>
          <t>PCP</t>
        </is>
      </c>
      <c r="D41" s="6" t="inlineStr">
        <is>
          <t>Tier 1</t>
        </is>
      </c>
      <c r="E41" s="6" t="inlineStr">
        <is>
          <t>One Spine Patient</t>
        </is>
      </c>
      <c r="F41" s="6" t="n">
        <v>72</v>
      </c>
      <c r="G41" s="6" t="n">
        <v>1</v>
      </c>
      <c r="H41" s="6" t="inlineStr">
        <is>
          <t>0</t>
        </is>
      </c>
      <c r="I41" s="6" t="inlineStr">
        <is>
          <t>1</t>
        </is>
      </c>
      <c r="J41" s="6" t="inlineStr">
        <is>
          <t>2026-05-22</t>
        </is>
      </c>
      <c r="K41" s="6" t="inlineStr">
        <is>
          <t>2026-06-25</t>
        </is>
      </c>
      <c r="L41" s="6" t="inlineStr">
        <is>
          <t>21</t>
        </is>
      </c>
      <c r="M41" s="6" t="inlineStr">
        <is>
          <t>31</t>
        </is>
      </c>
      <c r="N41" s="6" t="inlineStr">
        <is>
          <t>14</t>
        </is>
      </c>
      <c r="O41" s="6" t="inlineStr">
        <is>
          <t>K-D16</t>
        </is>
      </c>
      <c r="P41" s="6" t="inlineStr">
        <is>
          <t>Port Huron</t>
        </is>
      </c>
      <c r="Q41" s="6" t="inlineStr">
        <is>
          <t>1225 10th St, Port Huron, Michigan, 48060</t>
        </is>
      </c>
      <c r="R41" s="6" t="inlineStr">
        <is>
          <t>Autumn A Whitten, PA-C (1 spine)</t>
        </is>
      </c>
      <c r="S41" s="6" t="inlineStr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>
      <c r="A42" s="6" t="inlineStr">
        <is>
          <t>Brentwood Pediatric Associates</t>
        </is>
      </c>
      <c r="B42" s="6" t="inlineStr">
        <is>
          <t>9dfbaa38-07b2-4017-9d71-ff4cd2ce42f7</t>
        </is>
      </c>
      <c r="C42" s="6" t="inlineStr">
        <is>
          <t>Pediatrics</t>
        </is>
      </c>
      <c r="D42" s="6" t="inlineStr">
        <is>
          <t>Tier 1</t>
        </is>
      </c>
      <c r="E42" s="6" t="inlineStr">
        <is>
          <t>One Spine Patient</t>
        </is>
      </c>
      <c r="F42" s="6" t="n">
        <v>71</v>
      </c>
      <c r="G42" s="6" t="n">
        <v>1</v>
      </c>
      <c r="H42" s="6" t="inlineStr">
        <is>
          <t>9</t>
        </is>
      </c>
      <c r="I42" s="6" t="inlineStr">
        <is>
          <t>11</t>
        </is>
      </c>
      <c r="J42" s="6" t="inlineStr">
        <is>
          <t>2026-07-09</t>
        </is>
      </c>
      <c r="K42" s="6" t="inlineStr">
        <is>
          <t>2026-06-30</t>
        </is>
      </c>
      <c r="L42" s="6" t="inlineStr">
        <is>
          <t>16</t>
        </is>
      </c>
      <c r="M42" s="6" t="inlineStr">
        <is>
          <t>46</t>
        </is>
      </c>
      <c r="N42" s="6" t="inlineStr">
        <is>
          <t>14</t>
        </is>
      </c>
      <c r="O42" s="6" t="inlineStr">
        <is>
          <t>K-D08</t>
        </is>
      </c>
      <c r="P42" s="6" t="inlineStr">
        <is>
          <t>Livonia</t>
        </is>
      </c>
      <c r="Q42" s="6" t="inlineStr">
        <is>
          <t>33215 W Seven Mile Rd, Livonia, Michigan, 48152</t>
        </is>
      </c>
      <c r="R42" s="6" t="inlineStr">
        <is>
          <t>Ajey V Godbole, MD (1 spine) · Hassan Bazzy, DO (1 ortho)</t>
        </is>
      </c>
      <c r="S42" s="6" t="inlineStr">
        <is>
          <t>Pediatric (Jul 20 rule) → KEEP - producing; verify relationship</t>
        </is>
      </c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>
      <c r="A43" s="6" t="inlineStr">
        <is>
          <t>Northpointe Pediatrics</t>
        </is>
      </c>
      <c r="B43" s="6" t="inlineStr">
        <is>
          <t>31b0544c-cc2c-4479-9df9-b11748ecefc7</t>
        </is>
      </c>
      <c r="C43" s="6" t="inlineStr">
        <is>
          <t>Pediatrics</t>
        </is>
      </c>
      <c r="D43" s="6" t="inlineStr">
        <is>
          <t>Tier 1</t>
        </is>
      </c>
      <c r="E43" s="6" t="inlineStr">
        <is>
          <t>One Spine Patient</t>
        </is>
      </c>
      <c r="F43" s="6" t="n">
        <v>71</v>
      </c>
      <c r="G43" s="6" t="n">
        <v>1</v>
      </c>
      <c r="H43" s="6" t="inlineStr">
        <is>
          <t>3</t>
        </is>
      </c>
      <c r="I43" s="6" t="inlineStr">
        <is>
          <t>4</t>
        </is>
      </c>
      <c r="J43" s="6" t="inlineStr">
        <is>
          <t>2026-03-04</t>
        </is>
      </c>
      <c r="K43" s="6" t="inlineStr">
        <is>
          <t>2026-07-15</t>
        </is>
      </c>
      <c r="L43" s="6" t="inlineStr">
        <is>
          <t>1</t>
        </is>
      </c>
      <c r="M43" s="6" t="inlineStr">
        <is>
          <t>46.5</t>
        </is>
      </c>
      <c r="N43" s="6" t="inlineStr">
        <is>
          <t>14</t>
        </is>
      </c>
      <c r="O43" s="6" t="inlineStr">
        <is>
          <t>K-D13</t>
        </is>
      </c>
      <c r="P43" s="6" t="inlineStr">
        <is>
          <t>Warren</t>
        </is>
      </c>
      <c r="Q43" s="6" t="inlineStr">
        <is>
          <t>30061 Schoenherr Rd, Warren, Michigan, 48088</t>
        </is>
      </c>
      <c r="R43" s="6" t="inlineStr">
        <is>
          <t>Deanna Denysenko, DO (1 spine) · Allison Engel, MD (1 ortho) · Peter J Francis, MD (1 ortho)</t>
        </is>
      </c>
      <c r="S43" s="6" t="inlineStr">
        <is>
          <t>Pediatric (Jul 20 rule) → KEEP - producing; verify relationship</t>
        </is>
      </c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>
      <c r="A44" s="6" t="inlineStr">
        <is>
          <t>FERRIS, MARY C, MEDICAL GROUP</t>
        </is>
      </c>
      <c r="B44" s="6" t="inlineStr">
        <is>
          <t>a5a045ce-889d-4018-81f5-3fd8d3d7af6b</t>
        </is>
      </c>
      <c r="C44" s="6" t="inlineStr">
        <is>
          <t>PCP</t>
        </is>
      </c>
      <c r="D44" s="6" t="inlineStr">
        <is>
          <t>Tier 1</t>
        </is>
      </c>
      <c r="E44" s="6" t="inlineStr">
        <is>
          <t>One Spine Patient</t>
        </is>
      </c>
      <c r="F44" s="6" t="n">
        <v>71</v>
      </c>
      <c r="G44" s="6" t="n">
        <v>1</v>
      </c>
      <c r="H44" s="6" t="inlineStr">
        <is>
          <t>6</t>
        </is>
      </c>
      <c r="I44" s="6" t="inlineStr">
        <is>
          <t>7</t>
        </is>
      </c>
      <c r="J44" s="6" t="inlineStr">
        <is>
          <t>2026-07-09</t>
        </is>
      </c>
      <c r="K44" s="6" t="inlineStr">
        <is>
          <t>2026-07-13</t>
        </is>
      </c>
      <c r="L44" s="6" t="inlineStr">
        <is>
          <t>3</t>
        </is>
      </c>
      <c r="M44" s="6" t="inlineStr">
        <is>
          <t>52</t>
        </is>
      </c>
      <c r="N44" s="6" t="inlineStr">
        <is>
          <t>14</t>
        </is>
      </c>
      <c r="O44" s="6" t="inlineStr">
        <is>
          <t>K-D13</t>
        </is>
      </c>
      <c r="P44" s="6" t="inlineStr">
        <is>
          <t>WARREN</t>
        </is>
      </c>
      <c r="Q44" s="6" t="inlineStr">
        <is>
          <t>28111 HOOVER RD STE 1A, WARREN, Michigan</t>
        </is>
      </c>
      <c r="R44" s="6" t="inlineStr">
        <is>
          <t>Mary C Ferris, DO (1 spine)</t>
        </is>
      </c>
      <c r="S44" s="6" t="inlineStr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>
      <c r="A45" s="6" t="inlineStr">
        <is>
          <t>Swetech Medical Center</t>
        </is>
      </c>
      <c r="B45" s="6" t="inlineStr">
        <is>
          <t>1255427209</t>
        </is>
      </c>
      <c r="C45" s="6" t="inlineStr">
        <is>
          <t>PCP</t>
        </is>
      </c>
      <c r="D45" s="6" t="inlineStr">
        <is>
          <t>Tier 1</t>
        </is>
      </c>
      <c r="E45" s="6" t="inlineStr">
        <is>
          <t>One Spine Patient</t>
        </is>
      </c>
      <c r="F45" s="6" t="n">
        <v>71</v>
      </c>
      <c r="G45" s="6" t="n">
        <v>1</v>
      </c>
      <c r="H45" s="6" t="inlineStr">
        <is>
          <t>0</t>
        </is>
      </c>
      <c r="I45" s="6" t="inlineStr">
        <is>
          <t>2</t>
        </is>
      </c>
      <c r="J45" s="6" t="inlineStr">
        <is>
          <t>2026-05-14</t>
        </is>
      </c>
      <c r="K45" s="6" t="inlineStr">
        <is>
          <t>2026-06-15</t>
        </is>
      </c>
      <c r="L45" s="6" t="inlineStr">
        <is>
          <t>31</t>
        </is>
      </c>
      <c r="M45" s="6" t="inlineStr">
        <is>
          <t>42</t>
        </is>
      </c>
      <c r="N45" s="6" t="inlineStr">
        <is>
          <t>14</t>
        </is>
      </c>
      <c r="O45" s="6" t="inlineStr">
        <is>
          <t>K-D15</t>
        </is>
      </c>
      <c r="P45" s="6" t="inlineStr">
        <is>
          <t>Clinton Township</t>
        </is>
      </c>
      <c r="Q45" s="6" t="inlineStr">
        <is>
          <t>43600 Garfield Rd, Clinton Township, Michigan, 48038</t>
        </is>
      </c>
      <c r="R45" s="6" t="inlineStr">
        <is>
          <t>Jonathan Swetech, DO (1 spine) · Maria Swetech, MD</t>
        </is>
      </c>
      <c r="S45" s="6" t="inlineStr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>
      <c r="A46" s="6" t="inlineStr">
        <is>
          <t>Michigan Neurology and Spine Center</t>
        </is>
      </c>
      <c r="B46" s="6" t="inlineStr">
        <is>
          <t>137ab9e0-c65d-4932-9dc5-f8b83b872e50</t>
        </is>
      </c>
      <c r="C46" s="6" t="inlineStr">
        <is>
          <t>Pain</t>
        </is>
      </c>
      <c r="D46" s="6" t="inlineStr">
        <is>
          <t>Tier 1</t>
        </is>
      </c>
      <c r="E46" s="6" t="inlineStr">
        <is>
          <t>One Spine Patient</t>
        </is>
      </c>
      <c r="F46" s="6" t="n">
        <v>71</v>
      </c>
      <c r="G46" s="6" t="n">
        <v>1</v>
      </c>
      <c r="H46" s="6" t="inlineStr">
        <is>
          <t>0</t>
        </is>
      </c>
      <c r="I46" s="6" t="inlineStr">
        <is>
          <t>1</t>
        </is>
      </c>
      <c r="J46" s="6" t="inlineStr">
        <is>
          <t>2026-05-12</t>
        </is>
      </c>
      <c r="K46" s="6" t="inlineStr">
        <is>
          <t>2026-06-16</t>
        </is>
      </c>
      <c r="L46" s="6" t="inlineStr">
        <is>
          <t>30</t>
        </is>
      </c>
      <c r="M46" s="6" t="inlineStr">
        <is>
          <t>21</t>
        </is>
      </c>
      <c r="N46" s="6" t="inlineStr">
        <is>
          <t>14</t>
        </is>
      </c>
      <c r="O46" s="6" t="inlineStr">
        <is>
          <t>K-D16</t>
        </is>
      </c>
      <c r="P46" s="6" t="inlineStr">
        <is>
          <t>Port Huron</t>
        </is>
      </c>
      <c r="Q46" s="6" t="inlineStr">
        <is>
          <t>1103 7th St suite a, Port Huron, Michigan, 48060</t>
        </is>
      </c>
      <c r="R46" s="6" t="inlineStr">
        <is>
          <t>Carol Miller Fnp-bc (1 spine)</t>
        </is>
      </c>
      <c r="S46" s="6" t="inlineStr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>
      <c r="A47" s="6" t="inlineStr">
        <is>
          <t>Henry Ford Main Internal Medicine - Grosse Pointe</t>
        </is>
      </c>
      <c r="B47" s="6" t="inlineStr">
        <is>
          <t>1073593174</t>
        </is>
      </c>
      <c r="C47" s="6" t="inlineStr">
        <is>
          <t>PCP</t>
        </is>
      </c>
      <c r="D47" s="6" t="inlineStr">
        <is>
          <t>Tier 1</t>
        </is>
      </c>
      <c r="E47" s="6" t="inlineStr">
        <is>
          <t>One Spine Patient</t>
        </is>
      </c>
      <c r="F47" s="6" t="n">
        <v>71</v>
      </c>
      <c r="G47" s="6" t="n">
        <v>1</v>
      </c>
      <c r="H47" s="6" t="inlineStr">
        <is>
          <t>0</t>
        </is>
      </c>
      <c r="I47" s="6" t="inlineStr">
        <is>
          <t>1</t>
        </is>
      </c>
      <c r="J47" s="6" t="inlineStr">
        <is>
          <t>2026-04-21</t>
        </is>
      </c>
      <c r="K47" s="6" t="inlineStr">
        <is>
          <t>2026-07-07</t>
        </is>
      </c>
      <c r="L47" s="6" t="inlineStr">
        <is>
          <t>9</t>
        </is>
      </c>
      <c r="M47" s="6" t="inlineStr">
        <is>
          <t>6</t>
        </is>
      </c>
      <c r="N47" s="6" t="inlineStr">
        <is>
          <t>14</t>
        </is>
      </c>
      <c r="O47" s="6" t="inlineStr">
        <is>
          <t>K-D17</t>
        </is>
      </c>
      <c r="P47" s="6" t="inlineStr">
        <is>
          <t>Grosse Pointe</t>
        </is>
      </c>
      <c r="Q47" s="6" t="inlineStr">
        <is>
          <t>19251 Mack Ave #333, Grosse Pointe, Michigan, 48236</t>
        </is>
      </c>
      <c r="R47" s="6" t="inlineStr">
        <is>
          <t>Donald M Rozzell, MD (1 spine)</t>
        </is>
      </c>
      <c r="S47" s="6" t="inlineStr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6" t="inlineStr">
        <is>
          <t>Jefferson Family Practice (Cornerstone)</t>
        </is>
      </c>
      <c r="B48" s="6" t="inlineStr">
        <is>
          <t>9b2159ca-9617-4ade-8a25-85a92fcca972</t>
        </is>
      </c>
      <c r="C48" s="6" t="inlineStr">
        <is>
          <t>PCP</t>
        </is>
      </c>
      <c r="D48" s="6" t="inlineStr">
        <is>
          <t>Tier 1</t>
        </is>
      </c>
      <c r="E48" s="6" t="inlineStr">
        <is>
          <t>One Spine Patient</t>
        </is>
      </c>
      <c r="F48" s="6" t="n">
        <v>71</v>
      </c>
      <c r="G48" s="6" t="n">
        <v>1</v>
      </c>
      <c r="H48" s="6" t="inlineStr">
        <is>
          <t>0</t>
        </is>
      </c>
      <c r="I48" s="6" t="inlineStr">
        <is>
          <t>2</t>
        </is>
      </c>
      <c r="J48" s="6" t="inlineStr">
        <is>
          <t>2026-03-12</t>
        </is>
      </c>
      <c r="K48" s="6" t="inlineStr">
        <is>
          <t>2026-07-07</t>
        </is>
      </c>
      <c r="L48" s="6" t="inlineStr">
        <is>
          <t>9</t>
        </is>
      </c>
      <c r="M48" s="6" t="inlineStr">
        <is>
          <t>29</t>
        </is>
      </c>
      <c r="N48" s="6" t="inlineStr">
        <is>
          <t>14</t>
        </is>
      </c>
      <c r="O48" s="6" t="inlineStr">
        <is>
          <t>K-D17</t>
        </is>
      </c>
      <c r="P48" s="6" t="inlineStr">
        <is>
          <t>Grosse Pointe</t>
        </is>
      </c>
      <c r="Q48" s="6" t="inlineStr">
        <is>
          <t>15050 E Jefferson Ave suite 101, Grosse Pointe, Michigan, 48230</t>
        </is>
      </c>
      <c r="R48" s="6" t="inlineStr">
        <is>
          <t>Durga Mulpuri, MD (1 spine)</t>
        </is>
      </c>
      <c r="S48" s="6" t="inlineStr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>
      <c r="A49" s="6" t="inlineStr">
        <is>
          <t>SHEIKH MEDICAL CENTER</t>
        </is>
      </c>
      <c r="B49" s="6" t="inlineStr">
        <is>
          <t>7c32d0b4-c83f-4756-924c-9c8c74996a39</t>
        </is>
      </c>
      <c r="C49" s="6" t="inlineStr">
        <is>
          <t>PCP</t>
        </is>
      </c>
      <c r="D49" s="6" t="inlineStr">
        <is>
          <t>Tier 1</t>
        </is>
      </c>
      <c r="E49" s="6" t="inlineStr">
        <is>
          <t>One Spine Patient</t>
        </is>
      </c>
      <c r="F49" s="6" t="n">
        <v>70</v>
      </c>
      <c r="G49" s="6" t="n">
        <v>1</v>
      </c>
      <c r="H49" s="6" t="inlineStr">
        <is>
          <t>1</t>
        </is>
      </c>
      <c r="I49" s="6" t="inlineStr">
        <is>
          <t>2</t>
        </is>
      </c>
      <c r="J49" s="6" t="inlineStr">
        <is>
          <t>2026-06-12</t>
        </is>
      </c>
      <c r="K49" s="6" t="inlineStr">
        <is>
          <t>2026-05-11</t>
        </is>
      </c>
      <c r="L49" s="6" t="inlineStr">
        <is>
          <t>66</t>
        </is>
      </c>
      <c r="M49" s="6" t="inlineStr">
        <is>
          <t>21</t>
        </is>
      </c>
      <c r="N49" s="6" t="inlineStr">
        <is>
          <t>14</t>
        </is>
      </c>
      <c r="O49" s="6" t="inlineStr">
        <is>
          <t>K-D01</t>
        </is>
      </c>
      <c r="P49" s="6" t="inlineStr">
        <is>
          <t>FARMINGTON</t>
        </is>
      </c>
      <c r="Q49" s="6" t="inlineStr">
        <is>
          <t>22821 ORCHARD LAKE RD, FARMINGTON, MI, 48336</t>
        </is>
      </c>
      <c r="R49" s="6" t="inlineStr">
        <is>
          <t>Mohammad I Sheikh (1 spine) · Mary A Cameron, MD (1 ortho)</t>
        </is>
      </c>
      <c r="S49" s="6" t="inlineStr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>
      <c r="A50" s="6" t="inlineStr">
        <is>
          <t>Corewell Internal Medicine Southfield</t>
        </is>
      </c>
      <c r="B50" s="6" t="inlineStr">
        <is>
          <t>5eb6a409-5e7b-430f-a462-af3a919cfc22</t>
        </is>
      </c>
      <c r="C50" s="6" t="inlineStr">
        <is>
          <t>PCP</t>
        </is>
      </c>
      <c r="D50" s="6" t="inlineStr">
        <is>
          <t>Tier 1</t>
        </is>
      </c>
      <c r="E50" s="6" t="inlineStr">
        <is>
          <t>One Spine Patient</t>
        </is>
      </c>
      <c r="F50" s="6" t="n">
        <v>70</v>
      </c>
      <c r="G50" s="6" t="n">
        <v>1</v>
      </c>
      <c r="H50" s="6" t="inlineStr">
        <is>
          <t>0</t>
        </is>
      </c>
      <c r="I50" s="6" t="inlineStr">
        <is>
          <t>1</t>
        </is>
      </c>
      <c r="J50" s="6" t="inlineStr">
        <is>
          <t>2026-04-21</t>
        </is>
      </c>
      <c r="K50" s="6" t="inlineStr">
        <is>
          <t>2026-05-27</t>
        </is>
      </c>
      <c r="L50" s="6" t="inlineStr">
        <is>
          <t>50</t>
        </is>
      </c>
      <c r="M50" s="6" t="inlineStr">
        <is>
          <t>48</t>
        </is>
      </c>
      <c r="N50" s="6" t="inlineStr">
        <is>
          <t>14</t>
        </is>
      </c>
      <c r="O50" s="6" t="inlineStr">
        <is>
          <t>K-D02</t>
        </is>
      </c>
      <c r="P50" s="6" t="inlineStr">
        <is>
          <t>Southfield</t>
        </is>
      </c>
      <c r="Q50" s="6" t="inlineStr">
        <is>
          <t>29355 Northwestern Hwy #210, Southfield, Michigan, 48034</t>
        </is>
      </c>
      <c r="R50" s="6" t="inlineStr">
        <is>
          <t>Adrian Laith Michel, MD (1 spine)</t>
        </is>
      </c>
      <c r="S50" s="6" t="inlineStr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>
      <c r="A51" s="6" t="inlineStr">
        <is>
          <t>ORCHARD PRIMARY CARE</t>
        </is>
      </c>
      <c r="B51" s="6" t="inlineStr">
        <is>
          <t>ba00dba0-20f9-440b-8df0-799ade91a785</t>
        </is>
      </c>
      <c r="C51" s="6" t="inlineStr">
        <is>
          <t>PCP</t>
        </is>
      </c>
      <c r="D51" s="6" t="inlineStr">
        <is>
          <t>Tier 1</t>
        </is>
      </c>
      <c r="E51" s="6" t="inlineStr">
        <is>
          <t>One Spine Patient</t>
        </is>
      </c>
      <c r="F51" s="6" t="n">
        <v>70</v>
      </c>
      <c r="G51" s="6" t="n">
        <v>1</v>
      </c>
      <c r="H51" s="6" t="inlineStr">
        <is>
          <t>0</t>
        </is>
      </c>
      <c r="I51" s="6" t="inlineStr">
        <is>
          <t>1</t>
        </is>
      </c>
      <c r="J51" s="6" t="inlineStr">
        <is>
          <t>2026-05-01</t>
        </is>
      </c>
      <c r="K51" s="6" t="inlineStr">
        <is>
          <t>2026-05-13</t>
        </is>
      </c>
      <c r="L51" s="6" t="inlineStr">
        <is>
          <t>64</t>
        </is>
      </c>
      <c r="M51" s="6" t="inlineStr">
        <is>
          <t>73</t>
        </is>
      </c>
      <c r="N51" s="6" t="inlineStr">
        <is>
          <t>14</t>
        </is>
      </c>
      <c r="O51" s="6" t="inlineStr">
        <is>
          <t>K-D02</t>
        </is>
      </c>
      <c r="P51" s="6" t="inlineStr">
        <is>
          <t>FARMINGTON HILLS</t>
        </is>
      </c>
      <c r="Q51" s="6" t="inlineStr">
        <is>
          <t>30852 W 10 MILE RD, FARMINGTON HILLS, MI, 48336</t>
        </is>
      </c>
      <c r="R51" s="6" t="inlineStr">
        <is>
          <t>Meghna Pathak, MD (1 spine)</t>
        </is>
      </c>
      <c r="S51" s="6" t="inlineStr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>
      <c r="A52" s="6" t="inlineStr">
        <is>
          <t>DEIGHTON FAMILY PRACTICE - use this one</t>
        </is>
      </c>
      <c r="B52" s="6" t="inlineStr">
        <is>
          <t>a6779fd4-289a-49f7-8602-76dc1bf5764c</t>
        </is>
      </c>
      <c r="C52" s="6" t="inlineStr">
        <is>
          <t>PCP</t>
        </is>
      </c>
      <c r="D52" s="6" t="inlineStr">
        <is>
          <t>Tier 1</t>
        </is>
      </c>
      <c r="E52" s="6" t="inlineStr">
        <is>
          <t>One Spine Patient</t>
        </is>
      </c>
      <c r="F52" s="6" t="n">
        <v>70</v>
      </c>
      <c r="G52" s="6" t="n">
        <v>1</v>
      </c>
      <c r="H52" s="6" t="inlineStr">
        <is>
          <t>0</t>
        </is>
      </c>
      <c r="I52" s="6" t="inlineStr">
        <is>
          <t>3</t>
        </is>
      </c>
      <c r="J52" s="6" t="inlineStr">
        <is>
          <t>2026-06-01</t>
        </is>
      </c>
      <c r="K52" s="6" t="inlineStr">
        <is>
          <t>2026-05-29</t>
        </is>
      </c>
      <c r="L52" s="6" t="inlineStr">
        <is>
          <t>48</t>
        </is>
      </c>
      <c r="M52" s="6" t="inlineStr">
        <is>
          <t>15</t>
        </is>
      </c>
      <c r="N52" s="6" t="inlineStr">
        <is>
          <t>14</t>
        </is>
      </c>
      <c r="O52" s="6" t="inlineStr">
        <is>
          <t>K-D06</t>
        </is>
      </c>
      <c r="P52" s="6" t="inlineStr">
        <is>
          <t>SOUTHFIELD</t>
        </is>
      </c>
      <c r="Q52" s="6" t="inlineStr">
        <is>
          <t>22250 PROVIDENCE DR STE 500, SOUTHFIELD, Michigan</t>
        </is>
      </c>
      <c r="R52" s="6" t="inlineStr">
        <is>
          <t>Hamzah Badreddine, MD (1 spine)</t>
        </is>
      </c>
      <c r="S52" s="6" t="inlineStr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>
      <c r="A53" s="6" t="inlineStr">
        <is>
          <t>SOUTHFIELD MEDICAL CLINIC AND PREMIER URGENT CARE AND WALK IN CLINIC</t>
        </is>
      </c>
      <c r="B53" s="6" t="inlineStr">
        <is>
          <t>297a710c-01f5-41e0-9ffc-d1df69e9329d</t>
        </is>
      </c>
      <c r="C53" s="6" t="inlineStr">
        <is>
          <t>Urgent Care</t>
        </is>
      </c>
      <c r="D53" s="6" t="inlineStr">
        <is>
          <t>Tier 1</t>
        </is>
      </c>
      <c r="E53" s="6" t="inlineStr">
        <is>
          <t>One Spine Patient</t>
        </is>
      </c>
      <c r="F53" s="6" t="n">
        <v>70</v>
      </c>
      <c r="G53" s="6" t="n">
        <v>1</v>
      </c>
      <c r="H53" s="6" t="inlineStr">
        <is>
          <t>0</t>
        </is>
      </c>
      <c r="I53" s="6" t="inlineStr">
        <is>
          <t>1</t>
        </is>
      </c>
      <c r="J53" s="6" t="inlineStr">
        <is>
          <t>2026-04-20</t>
        </is>
      </c>
      <c r="K53" s="6" t="inlineStr">
        <is>
          <t>2026-06-01</t>
        </is>
      </c>
      <c r="L53" s="6" t="inlineStr">
        <is>
          <t>45</t>
        </is>
      </c>
      <c r="M53" s="6" t="inlineStr">
        <is>
          <t>34</t>
        </is>
      </c>
      <c r="N53" s="6" t="inlineStr">
        <is>
          <t>14</t>
        </is>
      </c>
      <c r="O53" s="6" t="inlineStr">
        <is>
          <t>K-D06</t>
        </is>
      </c>
      <c r="P53" s="6" t="inlineStr">
        <is>
          <t>SOUTHFIELD</t>
        </is>
      </c>
      <c r="Q53" s="6" t="inlineStr">
        <is>
          <t>17070 W 12 MILE RD STE A, SOUTHFIELD, Michigan, MI 48076</t>
        </is>
      </c>
      <c r="R53" s="6" t="inlineStr">
        <is>
          <t>Mansour MD, Yousif S/Ross Law (1 spine)</t>
        </is>
      </c>
      <c r="S53" s="6" t="inlineStr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>
      <c r="A54" s="6" t="inlineStr">
        <is>
          <t>Rodnick Chiropractic</t>
        </is>
      </c>
      <c r="B54" s="6" t="inlineStr">
        <is>
          <t>97e1431f-4c5b-4ec4-b3a5-47267613937b</t>
        </is>
      </c>
      <c r="C54" s="6" t="inlineStr">
        <is>
          <t>Chiropractor</t>
        </is>
      </c>
      <c r="D54" s="6" t="inlineStr">
        <is>
          <t>Tier 1</t>
        </is>
      </c>
      <c r="E54" s="6" t="inlineStr">
        <is>
          <t>One Spine Patient</t>
        </is>
      </c>
      <c r="F54" s="6" t="n">
        <v>70</v>
      </c>
      <c r="G54" s="6" t="n">
        <v>1</v>
      </c>
      <c r="H54" s="6" t="inlineStr">
        <is>
          <t>0</t>
        </is>
      </c>
      <c r="I54" s="6" t="inlineStr">
        <is>
          <t>1</t>
        </is>
      </c>
      <c r="J54" s="6" t="inlineStr">
        <is>
          <t>2026-02-19</t>
        </is>
      </c>
      <c r="K54" s="6" t="inlineStr">
        <is>
          <t>2026-05-26</t>
        </is>
      </c>
      <c r="L54" s="6" t="inlineStr">
        <is>
          <t>51</t>
        </is>
      </c>
      <c r="M54" s="6" t="inlineStr">
        <is>
          <t>62</t>
        </is>
      </c>
      <c r="N54" s="6" t="inlineStr">
        <is>
          <t>14</t>
        </is>
      </c>
      <c r="O54" s="6" t="inlineStr">
        <is>
          <t>K-D07</t>
        </is>
      </c>
      <c r="P54" s="6" t="inlineStr">
        <is>
          <t>Commerce Charter Township</t>
        </is>
      </c>
      <c r="Q54" s="6" t="inlineStr">
        <is>
          <t>2685 Union Lake Rd Commerce Charter Twp, Commerce Charter Township, Michigan, 48382</t>
        </is>
      </c>
      <c r="R54" s="6" t="inlineStr">
        <is>
          <t>Alex Rodnick (1 spine)</t>
        </is>
      </c>
      <c r="S54" s="6" t="inlineStr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>
      <c r="A55" s="6" t="inlineStr">
        <is>
          <t>PILLAY INTERNAL MEDICINE ASSOCIATES, PLLC</t>
        </is>
      </c>
      <c r="B55" s="6" t="inlineStr">
        <is>
          <t>f5f4f354-94f3-42a1-a3be-10f8a64cdaae</t>
        </is>
      </c>
      <c r="C55" s="6" t="inlineStr">
        <is>
          <t>PCP</t>
        </is>
      </c>
      <c r="D55" s="6" t="inlineStr">
        <is>
          <t>Tier 1</t>
        </is>
      </c>
      <c r="E55" s="6" t="inlineStr">
        <is>
          <t>One Spine Patient</t>
        </is>
      </c>
      <c r="F55" s="6" t="n">
        <v>70</v>
      </c>
      <c r="G55" s="6" t="n">
        <v>1</v>
      </c>
      <c r="H55" s="6" t="inlineStr">
        <is>
          <t>0</t>
        </is>
      </c>
      <c r="I55" s="6" t="inlineStr">
        <is>
          <t>3</t>
        </is>
      </c>
      <c r="J55" s="6" t="inlineStr">
        <is>
          <t>2026-06-26</t>
        </is>
      </c>
      <c r="K55" s="6" t="inlineStr">
        <is>
          <t>2026-05-04</t>
        </is>
      </c>
      <c r="L55" s="6" t="inlineStr">
        <is>
          <t>73</t>
        </is>
      </c>
      <c r="M55" s="6" t="inlineStr">
        <is>
          <t>30</t>
        </is>
      </c>
      <c r="N55" s="6" t="inlineStr">
        <is>
          <t>14</t>
        </is>
      </c>
      <c r="O55" s="6" t="inlineStr">
        <is>
          <t>K-D07</t>
        </is>
      </c>
      <c r="P55" s="6" t="inlineStr">
        <is>
          <t>WALLED LAKE</t>
        </is>
      </c>
      <c r="Q55" s="6" t="inlineStr">
        <is>
          <t>100 N POND DR STE C, WALLED LAKE, MI, 48390</t>
        </is>
      </c>
      <c r="R55" s="6" t="inlineStr">
        <is>
          <t>Jeet N Pillay, MD (1 spine)</t>
        </is>
      </c>
      <c r="S55" s="6" t="inlineStr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>
      <c r="A56" s="6" t="inlineStr">
        <is>
          <t>Wigod &amp; Falzon</t>
        </is>
      </c>
      <c r="B56" s="6" t="inlineStr">
        <is>
          <t>1da57554-aa50-483a-b1a8-060ff843ff7c</t>
        </is>
      </c>
      <c r="C56" s="6" t="inlineStr">
        <is>
          <t>Attorney / Legal</t>
        </is>
      </c>
      <c r="D56" s="6" t="inlineStr">
        <is>
          <t>Tier 1</t>
        </is>
      </c>
      <c r="E56" s="6" t="inlineStr">
        <is>
          <t>One Spine Patient</t>
        </is>
      </c>
      <c r="F56" s="6" t="n">
        <v>70</v>
      </c>
      <c r="G56" s="6" t="n">
        <v>1</v>
      </c>
      <c r="H56" s="6" t="inlineStr">
        <is>
          <t>0</t>
        </is>
      </c>
      <c r="I56" s="6" t="inlineStr">
        <is>
          <t>1</t>
        </is>
      </c>
      <c r="J56" s="6" t="inlineStr">
        <is>
          <t>2026-06-17</t>
        </is>
      </c>
      <c r="K56" s="6" t="inlineStr">
        <is>
          <t>2026-05-29</t>
        </is>
      </c>
      <c r="L56" s="6" t="inlineStr">
        <is>
          <t>48</t>
        </is>
      </c>
      <c r="M56" s="6" t="inlineStr">
        <is>
          <t>19</t>
        </is>
      </c>
      <c r="N56" s="6" t="inlineStr">
        <is>
          <t>14</t>
        </is>
      </c>
      <c r="O56" s="6" t="inlineStr">
        <is>
          <t>K-D10</t>
        </is>
      </c>
      <c r="P56" s="6" t="inlineStr">
        <is>
          <t>Southfield</t>
        </is>
      </c>
      <c r="Q56" s="6" t="inlineStr">
        <is>
          <t>25899 W 12 Mile Rd, Southfield, Michigan, 48034</t>
        </is>
      </c>
      <c r="R56" s="6" t="inlineStr">
        <is>
          <t>Wigod and Falzon (1 spine)</t>
        </is>
      </c>
      <c r="S56" s="6" t="inlineStr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>
      <c r="A57" s="6" t="inlineStr">
        <is>
          <t>HENRY FORD MEDICAL CENTER FARMINGTON ROAD INTERNAL MEDICINE</t>
        </is>
      </c>
      <c r="B57" s="6" t="inlineStr">
        <is>
          <t>9021dee7-1935-4acc-9d3e-63f9e919459d</t>
        </is>
      </c>
      <c r="C57" s="6" t="inlineStr">
        <is>
          <t>PCP</t>
        </is>
      </c>
      <c r="D57" s="6" t="inlineStr">
        <is>
          <t>Tier 1</t>
        </is>
      </c>
      <c r="E57" s="6" t="inlineStr">
        <is>
          <t>One Spine Patient</t>
        </is>
      </c>
      <c r="F57" s="6" t="n">
        <v>70</v>
      </c>
      <c r="G57" s="6" t="n">
        <v>1</v>
      </c>
      <c r="H57" s="6" t="inlineStr">
        <is>
          <t>0</t>
        </is>
      </c>
      <c r="I57" s="6" t="inlineStr">
        <is>
          <t>2</t>
        </is>
      </c>
      <c r="J57" s="6" t="inlineStr">
        <is>
          <t>2026-06-09</t>
        </is>
      </c>
      <c r="K57" s="6" t="inlineStr">
        <is>
          <t>2026-05-07</t>
        </is>
      </c>
      <c r="L57" s="6" t="inlineStr">
        <is>
          <t>70</t>
        </is>
      </c>
      <c r="M57" s="6" t="inlineStr">
        <is>
          <t>29.5</t>
        </is>
      </c>
      <c r="N57" s="6" t="inlineStr">
        <is>
          <t>14</t>
        </is>
      </c>
      <c r="O57" s="6" t="inlineStr">
        <is>
          <t>K-D11</t>
        </is>
      </c>
      <c r="P57" s="6" t="inlineStr">
        <is>
          <t>WEST BLOOMFIELD</t>
        </is>
      </c>
      <c r="Q57" s="6" t="inlineStr">
        <is>
          <t>6530 FARMINGTON RD STE LL-02, WEST BLOOMFIELD, MI, 48322</t>
        </is>
      </c>
      <c r="R57" s="6" t="inlineStr">
        <is>
          <t>Jeffrey Finn, MD (1 spine) · Rashid Alsabeh, MD</t>
        </is>
      </c>
      <c r="S57" s="6" t="inlineStr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>
      <c r="A58" s="6" t="inlineStr">
        <is>
          <t>ARBOR LANE FAMILY PHYSICIANS</t>
        </is>
      </c>
      <c r="B58" s="6" t="inlineStr">
        <is>
          <t>ff61f8fa-5169-42e7-aafe-f189027c5f3a</t>
        </is>
      </c>
      <c r="C58" s="6" t="inlineStr">
        <is>
          <t>PCP</t>
        </is>
      </c>
      <c r="D58" s="6" t="inlineStr">
        <is>
          <t>Tier 1</t>
        </is>
      </c>
      <c r="E58" s="6" t="inlineStr">
        <is>
          <t>One Spine Patient</t>
        </is>
      </c>
      <c r="F58" s="6" t="n">
        <v>70</v>
      </c>
      <c r="G58" s="6" t="n">
        <v>1</v>
      </c>
      <c r="H58" s="6" t="inlineStr">
        <is>
          <t>1</t>
        </is>
      </c>
      <c r="I58" s="6" t="inlineStr">
        <is>
          <t>2</t>
        </is>
      </c>
      <c r="J58" s="6" t="inlineStr">
        <is>
          <t>2026-06-26</t>
        </is>
      </c>
      <c r="K58" s="6" t="inlineStr">
        <is>
          <t>2026-05-01</t>
        </is>
      </c>
      <c r="L58" s="6" t="inlineStr">
        <is>
          <t>76</t>
        </is>
      </c>
      <c r="M58" s="6" t="inlineStr">
        <is>
          <t>62</t>
        </is>
      </c>
      <c r="N58" s="6" t="inlineStr">
        <is>
          <t>14</t>
        </is>
      </c>
      <c r="O58" s="6" t="inlineStr">
        <is>
          <t>K-D12</t>
        </is>
      </c>
      <c r="P58" s="6" t="inlineStr">
        <is>
          <t>REDFORD</t>
        </is>
      </c>
      <c r="Q58" s="6" t="inlineStr">
        <is>
          <t>24224 JOY RD STE 100, REDFORD, Michigan</t>
        </is>
      </c>
      <c r="R58" s="6" t="inlineStr">
        <is>
          <t>Basil Abdo, MD (1 spine)</t>
        </is>
      </c>
      <c r="S58" s="6" t="inlineStr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6" t="inlineStr">
        <is>
          <t>Lupo Chiropractic Center</t>
        </is>
      </c>
      <c r="B59" s="6" t="inlineStr">
        <is>
          <t>ea3dd183-15b5-491c-b6b5-55d6404f4a22</t>
        </is>
      </c>
      <c r="C59" s="6" t="inlineStr">
        <is>
          <t>Chiropractor</t>
        </is>
      </c>
      <c r="D59" s="6" t="inlineStr">
        <is>
          <t>Tier 1</t>
        </is>
      </c>
      <c r="E59" s="6" t="inlineStr">
        <is>
          <t>One Spine Patient</t>
        </is>
      </c>
      <c r="F59" s="6" t="n">
        <v>70</v>
      </c>
      <c r="G59" s="6" t="n">
        <v>1</v>
      </c>
      <c r="H59" s="6" t="inlineStr">
        <is>
          <t>0</t>
        </is>
      </c>
      <c r="I59" s="6" t="inlineStr">
        <is>
          <t>1</t>
        </is>
      </c>
      <c r="J59" s="6" t="inlineStr">
        <is>
          <t>2026-02-12</t>
        </is>
      </c>
      <c r="K59" s="6" t="inlineStr">
        <is>
          <t>2026-05-04</t>
        </is>
      </c>
      <c r="L59" s="6" t="inlineStr">
        <is>
          <t>73</t>
        </is>
      </c>
      <c r="M59" s="6" t="inlineStr">
        <is>
          <t>3</t>
        </is>
      </c>
      <c r="N59" s="6" t="inlineStr">
        <is>
          <t>14</t>
        </is>
      </c>
      <c r="O59" s="6" t="inlineStr">
        <is>
          <t>K-D13</t>
        </is>
      </c>
      <c r="P59" s="6" t="inlineStr">
        <is>
          <t>Roseville</t>
        </is>
      </c>
      <c r="Q59" s="6" t="inlineStr">
        <is>
          <t>27850 Gratiot Avenue, Roseville, Michigan, 48066</t>
        </is>
      </c>
      <c r="R59" s="6" t="inlineStr">
        <is>
          <t>Jeffrey Lupo (1 spine)</t>
        </is>
      </c>
      <c r="S59" s="6" t="inlineStr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>
      <c r="A60" s="6" t="inlineStr">
        <is>
          <t>Village Medical - Northville West</t>
        </is>
      </c>
      <c r="B60" s="6" t="inlineStr">
        <is>
          <t>1255345930</t>
        </is>
      </c>
      <c r="C60" s="6" t="inlineStr">
        <is>
          <t>PCP</t>
        </is>
      </c>
      <c r="D60" s="6" t="inlineStr">
        <is>
          <t>Tier 1</t>
        </is>
      </c>
      <c r="E60" s="6" t="inlineStr">
        <is>
          <t>One Spine Patient</t>
        </is>
      </c>
      <c r="F60" s="6" t="n">
        <v>70</v>
      </c>
      <c r="G60" s="6" t="n">
        <v>1</v>
      </c>
      <c r="H60" s="6" t="inlineStr">
        <is>
          <t>0</t>
        </is>
      </c>
      <c r="I60" s="6" t="inlineStr">
        <is>
          <t>1</t>
        </is>
      </c>
      <c r="J60" s="6" t="inlineStr">
        <is>
          <t>2026-05-18</t>
        </is>
      </c>
      <c r="K60" s="6" t="inlineStr">
        <is>
          <t>2026-06-04</t>
        </is>
      </c>
      <c r="L60" s="6" t="inlineStr">
        <is>
          <t>42</t>
        </is>
      </c>
      <c r="M60" s="6" t="inlineStr">
        <is>
          <t>61</t>
        </is>
      </c>
      <c r="N60" s="6" t="inlineStr">
        <is>
          <t>14</t>
        </is>
      </c>
      <c r="O60" s="6" t="inlineStr">
        <is>
          <t>K-D14</t>
        </is>
      </c>
      <c r="P60" s="6" t="inlineStr">
        <is>
          <t>Northville</t>
        </is>
      </c>
      <c r="Q60" s="6" t="inlineStr">
        <is>
          <t>422 N Center St, Northville, Michigan, 48167</t>
        </is>
      </c>
      <c r="R60" s="6" t="inlineStr">
        <is>
          <t>Nader Demeri, MD (1 spine)</t>
        </is>
      </c>
      <c r="S60" s="6" t="inlineStr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s="6" t="inlineStr">
        <is>
          <t>Team Rehabilitation  - Washington</t>
        </is>
      </c>
      <c r="B61" s="6" t="inlineStr">
        <is>
          <t>940f0098-7ee4-47be-9425-5cd4bbc4dd0f</t>
        </is>
      </c>
      <c r="C61" s="6" t="inlineStr">
        <is>
          <t>PT</t>
        </is>
      </c>
      <c r="D61" s="6" t="inlineStr">
        <is>
          <t>Tier 1</t>
        </is>
      </c>
      <c r="E61" s="6" t="inlineStr">
        <is>
          <t>One Spine Patient</t>
        </is>
      </c>
      <c r="F61" s="6" t="n">
        <v>70</v>
      </c>
      <c r="G61" s="6" t="n">
        <v>1</v>
      </c>
      <c r="H61" s="6" t="inlineStr">
        <is>
          <t>1</t>
        </is>
      </c>
      <c r="I61" s="6" t="inlineStr">
        <is>
          <t>2</t>
        </is>
      </c>
      <c r="J61" s="6" t="inlineStr">
        <is>
          <t>2026-03-25</t>
        </is>
      </c>
      <c r="K61" s="6" t="inlineStr">
        <is>
          <t>2026-06-25</t>
        </is>
      </c>
      <c r="L61" s="6" t="inlineStr">
        <is>
          <t>21</t>
        </is>
      </c>
      <c r="M61" s="6" t="inlineStr">
        <is>
          <t>36.5</t>
        </is>
      </c>
      <c r="N61" s="6" t="inlineStr">
        <is>
          <t>14</t>
        </is>
      </c>
      <c r="O61" s="6" t="inlineStr">
        <is>
          <t>K-D15</t>
        </is>
      </c>
      <c r="P61" s="6" t="inlineStr">
        <is>
          <t>Washington</t>
        </is>
      </c>
      <c r="Q61" s="6" t="inlineStr">
        <is>
          <t>64541 Van Dyke, Washington, Michigan, 48095</t>
        </is>
      </c>
      <c r="R61" s="6" t="inlineStr">
        <is>
          <t>Dave Genoff D, PT (1 spine) · Rami Maasri D, PT (1 ortho)</t>
        </is>
      </c>
      <c r="S61" s="6" t="inlineStr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>
      <c r="A62" s="6" t="inlineStr">
        <is>
          <t>John Mullally MD PC</t>
        </is>
      </c>
      <c r="B62" s="6" t="inlineStr">
        <is>
          <t>b257a3dd-4296-4f0d-89f2-7d9f845a231e</t>
        </is>
      </c>
      <c r="C62" s="6" t="inlineStr">
        <is>
          <t>PCP</t>
        </is>
      </c>
      <c r="D62" s="6" t="inlineStr">
        <is>
          <t>Tier 1</t>
        </is>
      </c>
      <c r="E62" s="6" t="inlineStr">
        <is>
          <t>One Spine Patient</t>
        </is>
      </c>
      <c r="F62" s="6" t="n">
        <v>70</v>
      </c>
      <c r="G62" s="6" t="n">
        <v>1</v>
      </c>
      <c r="H62" s="6" t="inlineStr">
        <is>
          <t>1</t>
        </is>
      </c>
      <c r="I62" s="6" t="inlineStr">
        <is>
          <t>2</t>
        </is>
      </c>
      <c r="J62" s="6" t="inlineStr">
        <is>
          <t>2026-04-28</t>
        </is>
      </c>
      <c r="K62" s="6" t="inlineStr">
        <is>
          <t>2026-06-16</t>
        </is>
      </c>
      <c r="L62" s="6" t="inlineStr">
        <is>
          <t>30</t>
        </is>
      </c>
      <c r="M62" s="6" t="inlineStr">
        <is>
          <t>47.5</t>
        </is>
      </c>
      <c r="N62" s="6" t="inlineStr">
        <is>
          <t>14</t>
        </is>
      </c>
      <c r="O62" s="6" t="inlineStr">
        <is>
          <t>K-D16</t>
        </is>
      </c>
      <c r="P62" s="6" t="inlineStr">
        <is>
          <t>Port Huron</t>
        </is>
      </c>
      <c r="Q62" s="6" t="inlineStr">
        <is>
          <t>1117 Stone St suite 2, Port Huron, Michigan, 48060</t>
        </is>
      </c>
      <c r="R62" s="6" t="inlineStr">
        <is>
          <t>John Mullally, MD (1 spine)</t>
        </is>
      </c>
      <c r="S62" s="6" t="inlineStr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>
      <c r="A63" s="6" t="inlineStr">
        <is>
          <t>Mitchell Medical Center</t>
        </is>
      </c>
      <c r="B63" s="6" t="inlineStr">
        <is>
          <t>3a600778-0104-4e04-b9d4-feb46e567bd7</t>
        </is>
      </c>
      <c r="C63" s="6" t="inlineStr">
        <is>
          <t>PCP</t>
        </is>
      </c>
      <c r="D63" s="6" t="inlineStr">
        <is>
          <t>Tier 1</t>
        </is>
      </c>
      <c r="E63" s="6" t="inlineStr">
        <is>
          <t>One Spine Patient</t>
        </is>
      </c>
      <c r="F63" s="6" t="n">
        <v>70</v>
      </c>
      <c r="G63" s="6" t="n">
        <v>1</v>
      </c>
      <c r="H63" s="6" t="inlineStr">
        <is>
          <t>5</t>
        </is>
      </c>
      <c r="I63" s="6" t="inlineStr">
        <is>
          <t>8</t>
        </is>
      </c>
      <c r="J63" s="6" t="inlineStr">
        <is>
          <t>2026-06-04</t>
        </is>
      </c>
      <c r="K63" s="6" t="inlineStr">
        <is>
          <t>2026-06-16</t>
        </is>
      </c>
      <c r="L63" s="6" t="inlineStr">
        <is>
          <t>30</t>
        </is>
      </c>
      <c r="M63" s="6" t="inlineStr">
        <is>
          <t>41.5</t>
        </is>
      </c>
      <c r="N63" s="6" t="inlineStr">
        <is>
          <t>14</t>
        </is>
      </c>
      <c r="O63" s="6" t="inlineStr">
        <is>
          <t>K-D16</t>
        </is>
      </c>
      <c r="P63" s="6" t="inlineStr">
        <is>
          <t>Port Huron</t>
        </is>
      </c>
      <c r="Q63" s="6" t="inlineStr">
        <is>
          <t>1209 10th St, Port Huron, Michigan, 48060</t>
        </is>
      </c>
      <c r="R63" s="6" t="inlineStr">
        <is>
          <t>Katherine Blackwell, PA (1 spine)</t>
        </is>
      </c>
      <c r="S63" s="6" t="inlineStr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>
      <c r="A64" s="6" t="inlineStr">
        <is>
          <t>Port Huron Medicine Associates</t>
        </is>
      </c>
      <c r="B64" s="6" t="inlineStr">
        <is>
          <t>1245235654</t>
        </is>
      </c>
      <c r="C64" s="6" t="inlineStr">
        <is>
          <t>PCP</t>
        </is>
      </c>
      <c r="D64" s="6" t="inlineStr">
        <is>
          <t>Tier 1</t>
        </is>
      </c>
      <c r="E64" s="6" t="inlineStr">
        <is>
          <t>One Spine Patient</t>
        </is>
      </c>
      <c r="F64" s="6" t="n">
        <v>70</v>
      </c>
      <c r="G64" s="6" t="n">
        <v>1</v>
      </c>
      <c r="H64" s="6" t="inlineStr">
        <is>
          <t>5</t>
        </is>
      </c>
      <c r="I64" s="6" t="inlineStr">
        <is>
          <t>6</t>
        </is>
      </c>
      <c r="J64" s="6" t="inlineStr">
        <is>
          <t>2026-05-20</t>
        </is>
      </c>
      <c r="K64" s="6" t="inlineStr">
        <is>
          <t>2026-06-16</t>
        </is>
      </c>
      <c r="L64" s="6" t="inlineStr">
        <is>
          <t>30</t>
        </is>
      </c>
      <c r="M64" s="6" t="inlineStr">
        <is>
          <t>26</t>
        </is>
      </c>
      <c r="N64" s="6" t="inlineStr">
        <is>
          <t>14</t>
        </is>
      </c>
      <c r="O64" s="6" t="inlineStr">
        <is>
          <t>K-D16</t>
        </is>
      </c>
      <c r="P64" s="6" t="inlineStr">
        <is>
          <t>Port Huron</t>
        </is>
      </c>
      <c r="Q64" s="6" t="inlineStr">
        <is>
          <t>2540 16th St, Port Huron, MI, 480606405</t>
        </is>
      </c>
      <c r="R64" s="6" t="inlineStr">
        <is>
          <t>Cheryl Canto, MD (1 spine) · Pa-c Ashley Richardson (1 ortho)</t>
        </is>
      </c>
      <c r="S64" s="6" t="inlineStr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>
      <c r="A65" s="6" t="inlineStr">
        <is>
          <t>FAMILY CARE CENTER OF HAMTRAMCK, PC</t>
        </is>
      </c>
      <c r="B65" s="6" t="inlineStr">
        <is>
          <t>f4a7f5a0-d8e0-49ff-874a-04f12057fc5f</t>
        </is>
      </c>
      <c r="C65" s="6" t="inlineStr">
        <is>
          <t>PCP</t>
        </is>
      </c>
      <c r="D65" s="6" t="inlineStr">
        <is>
          <t>Tier 1</t>
        </is>
      </c>
      <c r="E65" s="6" t="inlineStr">
        <is>
          <t>One Spine Patient</t>
        </is>
      </c>
      <c r="F65" s="6" t="n">
        <v>70</v>
      </c>
      <c r="G65" s="6" t="n">
        <v>1</v>
      </c>
      <c r="H65" s="6" t="inlineStr">
        <is>
          <t>3</t>
        </is>
      </c>
      <c r="I65" s="6" t="inlineStr">
        <is>
          <t>4</t>
        </is>
      </c>
      <c r="J65" s="6" t="inlineStr">
        <is>
          <t>2026-06-23</t>
        </is>
      </c>
      <c r="K65" s="6" t="inlineStr">
        <is>
          <t>2026-05-19</t>
        </is>
      </c>
      <c r="L65" s="6" t="inlineStr">
        <is>
          <t>58</t>
        </is>
      </c>
      <c r="M65" s="6" t="inlineStr">
        <is>
          <t>29</t>
        </is>
      </c>
      <c r="N65" s="6" t="inlineStr">
        <is>
          <t>14</t>
        </is>
      </c>
      <c r="O65" s="6" t="inlineStr">
        <is>
          <t>K-D17</t>
        </is>
      </c>
      <c r="P65" s="6" t="inlineStr">
        <is>
          <t>HAMTRAMCK</t>
        </is>
      </c>
      <c r="Q65" s="6" t="inlineStr">
        <is>
          <t>12169 JOSEPH CAMPAU ST, HAMTRAMCK, MI, 48212</t>
        </is>
      </c>
      <c r="R65" s="6" t="inlineStr">
        <is>
          <t>Meenakshi Sharma, MD (1 spine) · Bhupesh Sharma, MD (2 ortho)</t>
        </is>
      </c>
      <c r="S65" s="6" t="inlineStr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>
      <c r="A66" s="6" t="inlineStr">
        <is>
          <t>Physician HealthCare Network Urgent Care and Walk In- Fort Gratiot</t>
        </is>
      </c>
      <c r="B66" s="6" t="inlineStr">
        <is>
          <t>4c053f65-6667-471a-9d5b-ee08b564d031</t>
        </is>
      </c>
      <c r="C66" s="6" t="inlineStr">
        <is>
          <t>Urgent Care</t>
        </is>
      </c>
      <c r="D66" s="6" t="inlineStr">
        <is>
          <t>Tier 1</t>
        </is>
      </c>
      <c r="E66" s="6" t="inlineStr">
        <is>
          <t>One Spine Patient</t>
        </is>
      </c>
      <c r="F66" s="6" t="n">
        <v>70</v>
      </c>
      <c r="G66" s="6" t="n">
        <v>1</v>
      </c>
      <c r="H66" s="6" t="inlineStr">
        <is>
          <t>14</t>
        </is>
      </c>
      <c r="I66" s="6" t="inlineStr">
        <is>
          <t>15</t>
        </is>
      </c>
      <c r="J66" s="6" t="inlineStr">
        <is>
          <t>2026-06-18</t>
        </is>
      </c>
      <c r="K66" s="6" t="inlineStr">
        <is>
          <t>2026-05-05</t>
        </is>
      </c>
      <c r="L66" s="6" t="inlineStr">
        <is>
          <t>72</t>
        </is>
      </c>
      <c r="M66" s="6" t="inlineStr">
        <is>
          <t>21</t>
        </is>
      </c>
      <c r="N66" s="6" t="inlineStr">
        <is>
          <t>14</t>
        </is>
      </c>
      <c r="O66" s="6" t="inlineStr">
        <is>
          <t>K-D18</t>
        </is>
      </c>
      <c r="P66" s="6" t="inlineStr">
        <is>
          <t>Fort Gratiot Township</t>
        </is>
      </c>
      <c r="Q66" s="6" t="inlineStr">
        <is>
          <t>4190 24th Ave,  Suite 105, Fort Gratiot Township, Michigan, 48059</t>
        </is>
      </c>
      <c r="R66" s="6" t="inlineStr">
        <is>
          <t>Christopher Borgiel, MD (1 spine) · Stacie Hill, PA-C (4 ortho) · Daniel C Souphis, DO (3 ortho) · Farrukh Zaman Naqvi, MD (1 ortho)</t>
        </is>
      </c>
      <c r="S66" s="6" t="inlineStr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>
      <c r="A67" s="6" t="inlineStr">
        <is>
          <t>Lexington Family Medicine</t>
        </is>
      </c>
      <c r="B67" s="6" t="inlineStr">
        <is>
          <t>e91e6824-c768-4d8f-a1d0-2c6cb005cc47</t>
        </is>
      </c>
      <c r="C67" s="6" t="inlineStr">
        <is>
          <t>PCP</t>
        </is>
      </c>
      <c r="D67" s="6" t="inlineStr">
        <is>
          <t>Tier 1</t>
        </is>
      </c>
      <c r="E67" s="6" t="inlineStr">
        <is>
          <t>One Spine Patient</t>
        </is>
      </c>
      <c r="F67" s="6" t="n">
        <v>70</v>
      </c>
      <c r="G67" s="6" t="n">
        <v>1</v>
      </c>
      <c r="H67" s="6" t="inlineStr">
        <is>
          <t>0</t>
        </is>
      </c>
      <c r="I67" s="6" t="inlineStr">
        <is>
          <t>1</t>
        </is>
      </c>
      <c r="J67" s="6" t="inlineStr">
        <is>
          <t>2026-02-10</t>
        </is>
      </c>
      <c r="K67" s="6" t="inlineStr">
        <is>
          <t>2026-06-09</t>
        </is>
      </c>
      <c r="L67" s="6" t="inlineStr">
        <is>
          <t>37</t>
        </is>
      </c>
      <c r="M67" s="6" t="inlineStr">
        <is>
          <t>29</t>
        </is>
      </c>
      <c r="N67" s="6" t="inlineStr">
        <is>
          <t>14</t>
        </is>
      </c>
      <c r="O67" s="6" t="inlineStr">
        <is>
          <t>K-D18</t>
        </is>
      </c>
      <c r="P67" s="6" t="inlineStr">
        <is>
          <t>Lexington</t>
        </is>
      </c>
      <c r="Q67" s="6" t="inlineStr">
        <is>
          <t>5294 Main Street, Lexington, Michigan, 48450</t>
        </is>
      </c>
      <c r="R67" s="6" t="inlineStr">
        <is>
          <t>Christie S Laming (1 spine)</t>
        </is>
      </c>
      <c r="S67" s="6" t="inlineStr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>
      <c r="A68" s="6" t="inlineStr">
        <is>
          <t>Yale Community Heath Center - VA Clinic</t>
        </is>
      </c>
      <c r="B68" s="6" t="inlineStr">
        <is>
          <t>ef22f4d0-c253-4bff-8a60-2a5eaa3168df</t>
        </is>
      </c>
      <c r="C68" s="6" t="inlineStr">
        <is>
          <t>PCP</t>
        </is>
      </c>
      <c r="D68" s="6" t="inlineStr">
        <is>
          <t>Tier 1</t>
        </is>
      </c>
      <c r="E68" s="6" t="inlineStr">
        <is>
          <t>One Spine Patient</t>
        </is>
      </c>
      <c r="F68" s="6" t="n">
        <v>70</v>
      </c>
      <c r="G68" s="6" t="n">
        <v>1</v>
      </c>
      <c r="H68" s="6" t="inlineStr">
        <is>
          <t>21</t>
        </is>
      </c>
      <c r="I68" s="6" t="inlineStr">
        <is>
          <t>22</t>
        </is>
      </c>
      <c r="J68" s="6" t="inlineStr">
        <is>
          <t>2026-07-08</t>
        </is>
      </c>
      <c r="K68" s="6" t="inlineStr">
        <is>
          <t>2026-06-09</t>
        </is>
      </c>
      <c r="L68" s="6" t="inlineStr">
        <is>
          <t>37</t>
        </is>
      </c>
      <c r="M68" s="6" t="inlineStr">
        <is>
          <t>14.5</t>
        </is>
      </c>
      <c r="N68" s="6" t="inlineStr">
        <is>
          <t>14</t>
        </is>
      </c>
      <c r="O68" s="6" t="inlineStr">
        <is>
          <t>K-D18</t>
        </is>
      </c>
      <c r="P68" s="6" t="inlineStr">
        <is>
          <t>Yale</t>
        </is>
      </c>
      <c r="Q68" s="6" t="inlineStr">
        <is>
          <t>7470 South Brockway Road, Yale, Michigan, 48097</t>
        </is>
      </c>
      <c r="R68" s="6" t="inlineStr">
        <is>
          <t>Carolyn Richards, PA-C (1 spine) · Melissa Mariutza, NP (5 ortho) · Laura Brosius, NP (4 ortho) · Yale VA (4 ortho) · Michael Parslow, PA (3 ortho) · Tara Deters, PA-C (2 ortho)</t>
        </is>
      </c>
      <c r="S68" s="6" t="inlineStr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>
      <c r="A69" s="6" t="inlineStr">
        <is>
          <t>Legacy Family Care</t>
        </is>
      </c>
      <c r="B69" s="6" t="inlineStr">
        <is>
          <t>6a6a4408-2a28-4e5b-aea6-b70d4b47d57c</t>
        </is>
      </c>
      <c r="C69" s="6" t="inlineStr">
        <is>
          <t>PCP</t>
        </is>
      </c>
      <c r="D69" s="6" t="inlineStr">
        <is>
          <t>Tier 1</t>
        </is>
      </c>
      <c r="E69" s="6" t="inlineStr">
        <is>
          <t>One Spine Patient</t>
        </is>
      </c>
      <c r="F69" s="6" t="n">
        <v>69</v>
      </c>
      <c r="G69" s="6" t="n">
        <v>1</v>
      </c>
      <c r="H69" s="6" t="inlineStr">
        <is>
          <t>0</t>
        </is>
      </c>
      <c r="I69" s="6" t="inlineStr">
        <is>
          <t>1</t>
        </is>
      </c>
      <c r="J69" s="6" t="inlineStr">
        <is>
          <t>2026-06-01</t>
        </is>
      </c>
      <c r="K69" s="6" t="inlineStr">
        <is>
          <t>2026-05-11</t>
        </is>
      </c>
      <c r="L69" s="6" t="inlineStr">
        <is>
          <t>66</t>
        </is>
      </c>
      <c r="M69" s="6" t="inlineStr">
        <is>
          <t>21</t>
        </is>
      </c>
      <c r="N69" s="6" t="inlineStr">
        <is>
          <t>14</t>
        </is>
      </c>
      <c r="O69" s="6" t="inlineStr">
        <is>
          <t>K-D01</t>
        </is>
      </c>
      <c r="P69" s="6" t="inlineStr">
        <is>
          <t>Farmington Hills</t>
        </is>
      </c>
      <c r="Q69" s="6" t="inlineStr">
        <is>
          <t>23800 Orchard Lake Rd suite 202, Farmington Hills, Michigan, 48336</t>
        </is>
      </c>
      <c r="R69" s="6" t="inlineStr">
        <is>
          <t>Heather Koza, MD (1 spine)</t>
        </is>
      </c>
      <c r="S69" s="6" t="inlineStr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>
      <c r="A70" s="6" t="inlineStr">
        <is>
          <t>Jian Zu MD</t>
        </is>
      </c>
      <c r="B70" s="6" t="inlineStr">
        <is>
          <t>85043f4d-a0d7-448b-9a3d-e0943de69dd8</t>
        </is>
      </c>
      <c r="C70" s="6" t="inlineStr">
        <is>
          <t>PCP</t>
        </is>
      </c>
      <c r="D70" s="6" t="inlineStr">
        <is>
          <t>Tier 1</t>
        </is>
      </c>
      <c r="E70" s="6" t="inlineStr">
        <is>
          <t>One Spine Patient</t>
        </is>
      </c>
      <c r="F70" s="6" t="n">
        <v>69</v>
      </c>
      <c r="G70" s="6" t="n">
        <v>1</v>
      </c>
      <c r="H70" s="6" t="inlineStr">
        <is>
          <t>0</t>
        </is>
      </c>
      <c r="I70" s="6" t="inlineStr">
        <is>
          <t>1</t>
        </is>
      </c>
      <c r="J70" s="6" t="inlineStr">
        <is>
          <t>2026-02-02</t>
        </is>
      </c>
      <c r="K70" s="6" t="inlineStr">
        <is>
          <t>2026-05-27</t>
        </is>
      </c>
      <c r="L70" s="6" t="inlineStr">
        <is>
          <t>50</t>
        </is>
      </c>
      <c r="M70" s="6" t="inlineStr">
        <is>
          <t>42</t>
        </is>
      </c>
      <c r="N70" s="6" t="inlineStr">
        <is>
          <t>14</t>
        </is>
      </c>
      <c r="O70" s="6" t="inlineStr">
        <is>
          <t>K-D03</t>
        </is>
      </c>
      <c r="P70" s="6" t="inlineStr">
        <is>
          <t>Southfield</t>
        </is>
      </c>
      <c r="Q70" s="6" t="inlineStr">
        <is>
          <t>29355 Northwestern Hwy, Southfield, Michigan, 48034</t>
        </is>
      </c>
      <c r="R70" s="6" t="inlineStr">
        <is>
          <t>Jian Zu, MD (1 spine)</t>
        </is>
      </c>
      <c r="S70" s="6" t="inlineStr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>
      <c r="A71" s="6" t="inlineStr">
        <is>
          <t>CoreMed - Commerce</t>
        </is>
      </c>
      <c r="B71" s="6" t="inlineStr">
        <is>
          <t>eab7d954-a523-466a-a75b-3eca7bf9c6d0</t>
        </is>
      </c>
      <c r="C71" s="6" t="inlineStr">
        <is>
          <t>PCP</t>
        </is>
      </c>
      <c r="D71" s="6" t="inlineStr">
        <is>
          <t>Tier 1</t>
        </is>
      </c>
      <c r="E71" s="6" t="inlineStr">
        <is>
          <t>One Spine Patient</t>
        </is>
      </c>
      <c r="F71" s="6" t="n">
        <v>69</v>
      </c>
      <c r="G71" s="6" t="n">
        <v>1</v>
      </c>
      <c r="H71" s="6" t="inlineStr">
        <is>
          <t>0</t>
        </is>
      </c>
      <c r="I71" s="6" t="inlineStr">
        <is>
          <t>1</t>
        </is>
      </c>
      <c r="J71" s="6" t="inlineStr">
        <is>
          <t>2026-03-12</t>
        </is>
      </c>
      <c r="K71" s="6" t="inlineStr">
        <is>
          <t>2026-05-26</t>
        </is>
      </c>
      <c r="L71" s="6" t="inlineStr">
        <is>
          <t>51</t>
        </is>
      </c>
      <c r="M71" s="6" t="n">
        <v/>
      </c>
      <c r="N71" s="6" t="inlineStr">
        <is>
          <t>14</t>
        </is>
      </c>
      <c r="O71" s="6" t="inlineStr">
        <is>
          <t>K-D07</t>
        </is>
      </c>
      <c r="P71" s="6" t="n">
        <v/>
      </c>
      <c r="Q71" s="6" t="inlineStr">
        <is>
          <t>2600 Union Lake Rd suite 140 Commerce Township, Michigan, 48382</t>
        </is>
      </c>
      <c r="R71" s="6" t="inlineStr">
        <is>
          <t>Kelsey Skelton, PA-C (1 spine)</t>
        </is>
      </c>
      <c r="S71" s="6" t="inlineStr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</row>
    <row r="72">
      <c r="A72" s="6" t="inlineStr">
        <is>
          <t>IHA UNION LAKE PEDIATRICS</t>
        </is>
      </c>
      <c r="B72" s="6" t="inlineStr">
        <is>
          <t>905d0bbb-d935-4258-8a1e-2e30d0a25987</t>
        </is>
      </c>
      <c r="C72" s="6" t="inlineStr">
        <is>
          <t>Pediatrics</t>
        </is>
      </c>
      <c r="D72" s="6" t="inlineStr">
        <is>
          <t>Tier 1</t>
        </is>
      </c>
      <c r="E72" s="6" t="inlineStr">
        <is>
          <t>One Spine Patient</t>
        </is>
      </c>
      <c r="F72" s="6" t="n">
        <v>69</v>
      </c>
      <c r="G72" s="6" t="n">
        <v>1</v>
      </c>
      <c r="H72" s="6" t="inlineStr">
        <is>
          <t>0</t>
        </is>
      </c>
      <c r="I72" s="6" t="inlineStr">
        <is>
          <t>1</t>
        </is>
      </c>
      <c r="J72" s="6" t="inlineStr">
        <is>
          <t>2026-06-10</t>
        </is>
      </c>
      <c r="K72" s="6" t="inlineStr">
        <is>
          <t>2026-05-26</t>
        </is>
      </c>
      <c r="L72" s="6" t="inlineStr">
        <is>
          <t>51</t>
        </is>
      </c>
      <c r="M72" s="6" t="inlineStr">
        <is>
          <t>15</t>
        </is>
      </c>
      <c r="N72" s="6" t="inlineStr">
        <is>
          <t>14</t>
        </is>
      </c>
      <c r="O72" s="6" t="inlineStr">
        <is>
          <t>K-D07</t>
        </is>
      </c>
      <c r="P72" s="6" t="inlineStr">
        <is>
          <t>COMMERCE TOWNSHIP</t>
        </is>
      </c>
      <c r="Q72" s="6" t="inlineStr">
        <is>
          <t>2630 UNION LAKE RD STE 100, COMMERCE TOWNSHIP, Michigan</t>
        </is>
      </c>
      <c r="R72" s="6" t="inlineStr">
        <is>
          <t>Courtney Elyse Palka (1 spine)</t>
        </is>
      </c>
      <c r="S72" s="6" t="inlineStr">
        <is>
          <t>Pediatric (Jul 20 rule) → KEEP - producing; verify relationship</t>
        </is>
      </c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>
      <c r="A73" s="6" t="inlineStr">
        <is>
          <t>TWIN LAKES MEDICAL ASSOCIATES, PC</t>
        </is>
      </c>
      <c r="B73" s="6" t="inlineStr">
        <is>
          <t>e7b52c83-5403-4607-98fb-61ffa473ccc4</t>
        </is>
      </c>
      <c r="C73" s="6" t="inlineStr">
        <is>
          <t>PCP</t>
        </is>
      </c>
      <c r="D73" s="6" t="inlineStr">
        <is>
          <t>Tier 1</t>
        </is>
      </c>
      <c r="E73" s="6" t="inlineStr">
        <is>
          <t>One Spine Patient</t>
        </is>
      </c>
      <c r="F73" s="6" t="n">
        <v>69</v>
      </c>
      <c r="G73" s="6" t="n">
        <v>1</v>
      </c>
      <c r="H73" s="6" t="inlineStr">
        <is>
          <t>0</t>
        </is>
      </c>
      <c r="I73" s="6" t="inlineStr">
        <is>
          <t>1</t>
        </is>
      </c>
      <c r="J73" s="6" t="inlineStr">
        <is>
          <t>2026-06-10</t>
        </is>
      </c>
      <c r="K73" s="6" t="inlineStr">
        <is>
          <t>2026-05-06</t>
        </is>
      </c>
      <c r="L73" s="6" t="inlineStr">
        <is>
          <t>71</t>
        </is>
      </c>
      <c r="M73" s="6" t="inlineStr">
        <is>
          <t>35</t>
        </is>
      </c>
      <c r="N73" s="6" t="inlineStr">
        <is>
          <t>14</t>
        </is>
      </c>
      <c r="O73" s="6" t="inlineStr">
        <is>
          <t>K-D09</t>
        </is>
      </c>
      <c r="P73" s="6" t="inlineStr">
        <is>
          <t>BLOOMFIELD</t>
        </is>
      </c>
      <c r="Q73" s="6" t="inlineStr">
        <is>
          <t>43700 WOODWARD AVE STE 206, BLOOMFIELD, Michigan, MI 48302</t>
        </is>
      </c>
      <c r="R73" s="6" t="inlineStr">
        <is>
          <t>Priyesh Patel, MD (1 spine)</t>
        </is>
      </c>
      <c r="S73" s="6" t="inlineStr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</row>
    <row r="74">
      <c r="A74" s="6" t="inlineStr">
        <is>
          <t>Center For Hollistic Medicine</t>
        </is>
      </c>
      <c r="B74" s="6" t="inlineStr">
        <is>
          <t>42b038b0-949b-46be-8843-e02868bb894a</t>
        </is>
      </c>
      <c r="C74" s="6" t="inlineStr">
        <is>
          <t>Other / Verify</t>
        </is>
      </c>
      <c r="D74" s="6" t="inlineStr">
        <is>
          <t>Tier 1</t>
        </is>
      </c>
      <c r="E74" s="6" t="inlineStr">
        <is>
          <t>One Spine Patient</t>
        </is>
      </c>
      <c r="F74" s="6" t="n">
        <v>69</v>
      </c>
      <c r="G74" s="6" t="n">
        <v>1</v>
      </c>
      <c r="H74" s="6" t="inlineStr">
        <is>
          <t>0</t>
        </is>
      </c>
      <c r="I74" s="6" t="inlineStr">
        <is>
          <t>1</t>
        </is>
      </c>
      <c r="J74" s="6" t="inlineStr">
        <is>
          <t>2026-04-27</t>
        </is>
      </c>
      <c r="K74" s="6" t="inlineStr">
        <is>
          <t>2026-05-07</t>
        </is>
      </c>
      <c r="L74" s="6" t="inlineStr">
        <is>
          <t>70</t>
        </is>
      </c>
      <c r="M74" s="6" t="inlineStr">
        <is>
          <t>74</t>
        </is>
      </c>
      <c r="N74" s="6" t="inlineStr">
        <is>
          <t>14</t>
        </is>
      </c>
      <c r="O74" s="6" t="inlineStr">
        <is>
          <t>K-D11</t>
        </is>
      </c>
      <c r="P74" s="6" t="inlineStr">
        <is>
          <t>WEST BLOOMFIELD</t>
        </is>
      </c>
      <c r="Q74" s="6" t="inlineStr">
        <is>
          <t>6089 W MAPLE RD STE 200, WEST BLOOMFIELD, Michigan</t>
        </is>
      </c>
      <c r="R74" s="6" t="inlineStr">
        <is>
          <t>Hailey L Brownstein, DO (1 spine)</t>
        </is>
      </c>
      <c r="S74" s="6" t="inlineStr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>
      <c r="A75" s="6" t="inlineStr">
        <is>
          <t>MARY LEE, MD, PC</t>
        </is>
      </c>
      <c r="B75" s="6" t="inlineStr">
        <is>
          <t>d62a30ae-10fe-4408-a2cc-7b0aa9422bb8</t>
        </is>
      </c>
      <c r="C75" s="6" t="inlineStr">
        <is>
          <t>PCP</t>
        </is>
      </c>
      <c r="D75" s="6" t="inlineStr">
        <is>
          <t>Tier 1</t>
        </is>
      </c>
      <c r="E75" s="6" t="inlineStr">
        <is>
          <t>One Spine Patient</t>
        </is>
      </c>
      <c r="F75" s="6" t="n">
        <v>69</v>
      </c>
      <c r="G75" s="6" t="n">
        <v>1</v>
      </c>
      <c r="H75" s="6" t="inlineStr">
        <is>
          <t>0</t>
        </is>
      </c>
      <c r="I75" s="6" t="inlineStr">
        <is>
          <t>3</t>
        </is>
      </c>
      <c r="J75" s="6" t="inlineStr">
        <is>
          <t>2026-05-07</t>
        </is>
      </c>
      <c r="K75" s="6" t="inlineStr">
        <is>
          <t>2026-05-07</t>
        </is>
      </c>
      <c r="L75" s="6" t="inlineStr">
        <is>
          <t>70</t>
        </is>
      </c>
      <c r="M75" s="6" t="inlineStr">
        <is>
          <t>48</t>
        </is>
      </c>
      <c r="N75" s="6" t="inlineStr">
        <is>
          <t>14</t>
        </is>
      </c>
      <c r="O75" s="6" t="inlineStr">
        <is>
          <t>K-D11</t>
        </is>
      </c>
      <c r="P75" s="6" t="inlineStr">
        <is>
          <t>WEST BLOOMFIELD</t>
        </is>
      </c>
      <c r="Q75" s="6" t="inlineStr">
        <is>
          <t>5799 W MAPLE RD STE 163, WEST BLOOMFIELD, MI, 48322</t>
        </is>
      </c>
      <c r="R75" s="6" t="inlineStr">
        <is>
          <t>Mary S Lee, MD (1 spine)</t>
        </is>
      </c>
      <c r="S75" s="6" t="inlineStr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</row>
    <row r="76">
      <c r="A76" s="6" t="inlineStr">
        <is>
          <t>Greg Monroe DO PC</t>
        </is>
      </c>
      <c r="B76" s="6" t="inlineStr">
        <is>
          <t>4de0cfd4-93f7-4efa-a4ed-25a3ceaf173b</t>
        </is>
      </c>
      <c r="C76" s="6" t="inlineStr">
        <is>
          <t>PCP</t>
        </is>
      </c>
      <c r="D76" s="6" t="inlineStr">
        <is>
          <t>Tier 1</t>
        </is>
      </c>
      <c r="E76" s="6" t="inlineStr">
        <is>
          <t>One Spine Patient</t>
        </is>
      </c>
      <c r="F76" s="6" t="n">
        <v>69</v>
      </c>
      <c r="G76" s="6" t="n">
        <v>1</v>
      </c>
      <c r="H76" s="6" t="inlineStr">
        <is>
          <t>0</t>
        </is>
      </c>
      <c r="I76" s="6" t="inlineStr">
        <is>
          <t>1</t>
        </is>
      </c>
      <c r="J76" s="6" t="inlineStr">
        <is>
          <t>2026-01-07</t>
        </is>
      </c>
      <c r="K76" s="6" t="inlineStr">
        <is>
          <t>2026-06-05</t>
        </is>
      </c>
      <c r="L76" s="6" t="inlineStr">
        <is>
          <t>41</t>
        </is>
      </c>
      <c r="M76" s="6" t="inlineStr">
        <is>
          <t>2</t>
        </is>
      </c>
      <c r="N76" s="6" t="inlineStr">
        <is>
          <t>14</t>
        </is>
      </c>
      <c r="O76" s="6" t="inlineStr">
        <is>
          <t>K-D12</t>
        </is>
      </c>
      <c r="P76" s="6" t="inlineStr">
        <is>
          <t>Westland</t>
        </is>
      </c>
      <c r="Q76" s="6" t="inlineStr">
        <is>
          <t>6149 Elmwood Street, Westland, Michigan, 48185</t>
        </is>
      </c>
      <c r="R76" s="6" t="inlineStr">
        <is>
          <t>Gregory Monroe, DO (1 spine)</t>
        </is>
      </c>
      <c r="S76" s="6" t="inlineStr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>
      <c r="A77" s="6" t="inlineStr">
        <is>
          <t>TONI BALLITCH TRATE, DO, PC</t>
        </is>
      </c>
      <c r="B77" s="6" t="inlineStr">
        <is>
          <t>a1394f28-7761-4612-ab27-23681dcadac0</t>
        </is>
      </c>
      <c r="C77" s="6" t="inlineStr">
        <is>
          <t>PCP</t>
        </is>
      </c>
      <c r="D77" s="6" t="inlineStr">
        <is>
          <t>Tier 1</t>
        </is>
      </c>
      <c r="E77" s="6" t="inlineStr">
        <is>
          <t>One Spine Patient</t>
        </is>
      </c>
      <c r="F77" s="6" t="n">
        <v>69</v>
      </c>
      <c r="G77" s="6" t="n">
        <v>1</v>
      </c>
      <c r="H77" s="6" t="inlineStr">
        <is>
          <t>0</t>
        </is>
      </c>
      <c r="I77" s="6" t="inlineStr">
        <is>
          <t>2</t>
        </is>
      </c>
      <c r="J77" s="6" t="inlineStr">
        <is>
          <t>2026-07-08</t>
        </is>
      </c>
      <c r="K77" s="6" t="inlineStr">
        <is>
          <t>2026-05-11</t>
        </is>
      </c>
      <c r="L77" s="6" t="inlineStr">
        <is>
          <t>66</t>
        </is>
      </c>
      <c r="M77" s="6" t="inlineStr">
        <is>
          <t>43.5</t>
        </is>
      </c>
      <c r="N77" s="6" t="inlineStr">
        <is>
          <t>14</t>
        </is>
      </c>
      <c r="O77" s="6" t="inlineStr">
        <is>
          <t>K-D14</t>
        </is>
      </c>
      <c r="P77" s="6" t="inlineStr">
        <is>
          <t>FARMINGTON HILLS</t>
        </is>
      </c>
      <c r="Q77" s="6" t="inlineStr">
        <is>
          <t>38215 W 10 MILE RD STE 8, FARMINGTON HILLS, Michigan</t>
        </is>
      </c>
      <c r="R77" s="6" t="inlineStr">
        <is>
          <t>Toni Trate, DO (1 spine)</t>
        </is>
      </c>
      <c r="S77" s="6" t="inlineStr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</row>
    <row r="78">
      <c r="A78" s="6" t="inlineStr">
        <is>
          <t>Providence Park Pediatrics - Novi</t>
        </is>
      </c>
      <c r="B78" s="6" t="inlineStr">
        <is>
          <t>9db7de95-514d-45c7-8a73-449a08d1d590</t>
        </is>
      </c>
      <c r="C78" s="6" t="inlineStr">
        <is>
          <t>Pediatrics</t>
        </is>
      </c>
      <c r="D78" s="6" t="inlineStr">
        <is>
          <t>Tier 1</t>
        </is>
      </c>
      <c r="E78" s="6" t="inlineStr">
        <is>
          <t>One Spine Patient</t>
        </is>
      </c>
      <c r="F78" s="6" t="n">
        <v>69</v>
      </c>
      <c r="G78" s="6" t="n">
        <v>1</v>
      </c>
      <c r="H78" s="6" t="inlineStr">
        <is>
          <t>5</t>
        </is>
      </c>
      <c r="I78" s="6" t="inlineStr">
        <is>
          <t>6</t>
        </is>
      </c>
      <c r="J78" s="6" t="inlineStr">
        <is>
          <t>2026-05-11</t>
        </is>
      </c>
      <c r="K78" s="6" t="inlineStr">
        <is>
          <t>2026-06-01</t>
        </is>
      </c>
      <c r="L78" s="6" t="inlineStr">
        <is>
          <t>45</t>
        </is>
      </c>
      <c r="M78" s="6" t="inlineStr">
        <is>
          <t>31.5</t>
        </is>
      </c>
      <c r="N78" s="6" t="inlineStr">
        <is>
          <t>14</t>
        </is>
      </c>
      <c r="O78" s="6" t="inlineStr">
        <is>
          <t>K-D14</t>
        </is>
      </c>
      <c r="P78" s="6" t="inlineStr">
        <is>
          <t>NOVI</t>
        </is>
      </c>
      <c r="Q78" s="6" t="inlineStr">
        <is>
          <t>26850 PROVIDENCE PKWY STE 455, NOVI, Michigan</t>
        </is>
      </c>
      <c r="R78" s="6" t="inlineStr">
        <is>
          <t>Mala Gaind, MD (1 spine) · Melissa Hoisington, MD (1 ortho) · Ada Kendall, MD (1 ortho) · Lili Levy, MD (1 ortho) · Marcia J Newcombe, MD (1 ortho)</t>
        </is>
      </c>
      <c r="S78" s="6" t="inlineStr">
        <is>
          <t>Pediatric (Jul 20 rule) → KEEP - producing; verify relationship</t>
        </is>
      </c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6" t="inlineStr">
        <is>
          <t>Yale Family Care</t>
        </is>
      </c>
      <c r="B79" s="6" t="inlineStr">
        <is>
          <t>03bf4090-11b2-4f44-94a5-662885cce913</t>
        </is>
      </c>
      <c r="C79" s="6" t="inlineStr">
        <is>
          <t>PCP</t>
        </is>
      </c>
      <c r="D79" s="6" t="inlineStr">
        <is>
          <t>Tier 1</t>
        </is>
      </c>
      <c r="E79" s="6" t="inlineStr">
        <is>
          <t>One Spine Patient</t>
        </is>
      </c>
      <c r="F79" s="6" t="n">
        <v>69</v>
      </c>
      <c r="G79" s="6" t="n">
        <v>1</v>
      </c>
      <c r="H79" s="6" t="inlineStr">
        <is>
          <t>1</t>
        </is>
      </c>
      <c r="I79" s="6" t="inlineStr">
        <is>
          <t>2</t>
        </is>
      </c>
      <c r="J79" s="6" t="inlineStr">
        <is>
          <t>2026-06-04</t>
        </is>
      </c>
      <c r="K79" s="6" t="inlineStr">
        <is>
          <t>2026-06-09</t>
        </is>
      </c>
      <c r="L79" s="6" t="inlineStr">
        <is>
          <t>37</t>
        </is>
      </c>
      <c r="M79" s="6" t="inlineStr">
        <is>
          <t>51.5</t>
        </is>
      </c>
      <c r="N79" s="6" t="inlineStr">
        <is>
          <t>14</t>
        </is>
      </c>
      <c r="O79" s="6" t="inlineStr">
        <is>
          <t>K-D18</t>
        </is>
      </c>
      <c r="P79" s="6" t="inlineStr">
        <is>
          <t>Yale</t>
        </is>
      </c>
      <c r="Q79" s="6" t="inlineStr">
        <is>
          <t>333 Gordon Drive, Yale, Michigan, 48097</t>
        </is>
      </c>
      <c r="R79" s="6" t="inlineStr">
        <is>
          <t>Seema K Doshi, MD (1 spine)</t>
        </is>
      </c>
      <c r="S79" s="6" t="inlineStr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</row>
    <row r="80">
      <c r="A80" s="6" t="inlineStr">
        <is>
          <t>Ross Gilders Law</t>
        </is>
      </c>
      <c r="B80" s="6" t="inlineStr">
        <is>
          <t>26a4f321-2be3-4d5d-8cf6-335d1fd38f12</t>
        </is>
      </c>
      <c r="C80" s="6" t="inlineStr">
        <is>
          <t>Attorney / Legal</t>
        </is>
      </c>
      <c r="D80" s="6" t="inlineStr">
        <is>
          <t>Tier 1</t>
        </is>
      </c>
      <c r="E80" s="6" t="inlineStr">
        <is>
          <t>One Spine Patient</t>
        </is>
      </c>
      <c r="F80" s="6" t="n">
        <v>68</v>
      </c>
      <c r="G80" s="6" t="n">
        <v>1</v>
      </c>
      <c r="H80" s="6" t="inlineStr">
        <is>
          <t>2</t>
        </is>
      </c>
      <c r="I80" s="6" t="inlineStr">
        <is>
          <t>3</t>
        </is>
      </c>
      <c r="J80" s="6" t="inlineStr">
        <is>
          <t>2026-05-29</t>
        </is>
      </c>
      <c r="K80" s="6" t="inlineStr">
        <is>
          <t>2026-04-02</t>
        </is>
      </c>
      <c r="L80" s="6" t="inlineStr">
        <is>
          <t>105</t>
        </is>
      </c>
      <c r="M80" s="6" t="inlineStr">
        <is>
          <t>32</t>
        </is>
      </c>
      <c r="N80" s="6" t="inlineStr">
        <is>
          <t>14</t>
        </is>
      </c>
      <c r="O80" s="6" t="inlineStr">
        <is>
          <t>K-D06</t>
        </is>
      </c>
      <c r="P80" s="6" t="inlineStr">
        <is>
          <t>Royal Oak</t>
        </is>
      </c>
      <c r="Q80" s="6" t="inlineStr">
        <is>
          <t>215 East 4th Street, Royal Oak, Michigan, 48067</t>
        </is>
      </c>
      <c r="R80" s="6" t="inlineStr">
        <is>
          <t>Ross Gilders (1 spine) · Ross Gilders Law (1 ortho)</t>
        </is>
      </c>
      <c r="S80" s="6" t="inlineStr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>
      <c r="A81" s="6" t="inlineStr">
        <is>
          <t>Christensen Law</t>
        </is>
      </c>
      <c r="B81" s="6" t="inlineStr">
        <is>
          <t>1ddf5ef9-8562-4164-9faa-60a49c6aa066</t>
        </is>
      </c>
      <c r="C81" s="6" t="inlineStr">
        <is>
          <t>Attorney / Legal</t>
        </is>
      </c>
      <c r="D81" s="6" t="inlineStr">
        <is>
          <t>Tier 1</t>
        </is>
      </c>
      <c r="E81" s="6" t="inlineStr">
        <is>
          <t>One Spine Patient</t>
        </is>
      </c>
      <c r="F81" s="6" t="n">
        <v>67</v>
      </c>
      <c r="G81" s="6" t="n">
        <v>1</v>
      </c>
      <c r="H81" s="6" t="inlineStr">
        <is>
          <t>0</t>
        </is>
      </c>
      <c r="I81" s="6" t="inlineStr">
        <is>
          <t>1</t>
        </is>
      </c>
      <c r="J81" s="6" t="inlineStr">
        <is>
          <t>2026-04-02</t>
        </is>
      </c>
      <c r="K81" s="6" t="inlineStr">
        <is>
          <t>2026-03-17</t>
        </is>
      </c>
      <c r="L81" s="6" t="inlineStr">
        <is>
          <t>121</t>
        </is>
      </c>
      <c r="M81" s="6" t="inlineStr">
        <is>
          <t>16</t>
        </is>
      </c>
      <c r="N81" s="6" t="inlineStr">
        <is>
          <t>14</t>
        </is>
      </c>
      <c r="O81" s="6" t="inlineStr">
        <is>
          <t>K-D01</t>
        </is>
      </c>
      <c r="P81" s="6" t="inlineStr">
        <is>
          <t>Southfield</t>
        </is>
      </c>
      <c r="Q81" s="6" t="inlineStr">
        <is>
          <t>25925 Telegraph Road, Suite 200, Southfield, Michigan, 48033</t>
        </is>
      </c>
      <c r="R81" s="6" t="inlineStr">
        <is>
          <t>Christensen Law (1 spine)</t>
        </is>
      </c>
      <c r="S81" s="6" t="inlineStr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</row>
    <row r="82">
      <c r="A82" s="6" t="inlineStr">
        <is>
          <t>Blue Water Urgent Care</t>
        </is>
      </c>
      <c r="B82" s="6" t="inlineStr">
        <is>
          <t>57c8b393-1204-4def-8cf0-5461a39e5e14</t>
        </is>
      </c>
      <c r="C82" s="6" t="inlineStr">
        <is>
          <t>Urgent Care</t>
        </is>
      </c>
      <c r="D82" s="6" t="inlineStr">
        <is>
          <t>Tier 1</t>
        </is>
      </c>
      <c r="E82" s="6" t="inlineStr">
        <is>
          <t>One Spine Patient</t>
        </is>
      </c>
      <c r="F82" s="6" t="n">
        <v>67</v>
      </c>
      <c r="G82" s="6" t="n">
        <v>1</v>
      </c>
      <c r="H82" s="6" t="inlineStr">
        <is>
          <t>0</t>
        </is>
      </c>
      <c r="I82" s="6" t="inlineStr">
        <is>
          <t>1</t>
        </is>
      </c>
      <c r="J82" s="6" t="inlineStr">
        <is>
          <t>2026-02-10</t>
        </is>
      </c>
      <c r="K82" s="6" t="inlineStr">
        <is>
          <t>2026-05-05</t>
        </is>
      </c>
      <c r="L82" s="6" t="inlineStr">
        <is>
          <t>72</t>
        </is>
      </c>
      <c r="M82" s="6" t="inlineStr">
        <is>
          <t>29</t>
        </is>
      </c>
      <c r="N82" s="6" t="inlineStr">
        <is>
          <t>14</t>
        </is>
      </c>
      <c r="O82" s="6" t="inlineStr">
        <is>
          <t>K-D16</t>
        </is>
      </c>
      <c r="P82" s="6" t="inlineStr">
        <is>
          <t>Marysville</t>
        </is>
      </c>
      <c r="Q82" s="6" t="inlineStr">
        <is>
          <t>1600 Gratiot Blvd suite 1, Marysville, Michigan, 48040</t>
        </is>
      </c>
      <c r="R82" s="6" t="inlineStr">
        <is>
          <t>Blue Water Urgent Care (1 spine)</t>
        </is>
      </c>
      <c r="S82" s="6" t="inlineStr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>
      <c r="A83" s="6" t="inlineStr">
        <is>
          <t>Henry Ford Health - Family Medicine 8 Mile Livonia</t>
        </is>
      </c>
      <c r="B83" s="6" t="inlineStr">
        <is>
          <t>22476694-35cd-4d2b-b17f-07cee1f1db4b</t>
        </is>
      </c>
      <c r="C83" s="6" t="inlineStr">
        <is>
          <t>PCP</t>
        </is>
      </c>
      <c r="D83" s="6" t="inlineStr">
        <is>
          <t>Tier 2</t>
        </is>
      </c>
      <c r="E83" s="6" t="inlineStr">
        <is>
          <t>Ortho Referrer</t>
        </is>
      </c>
      <c r="F83" s="6" t="n">
        <v>59</v>
      </c>
      <c r="G83" s="6" t="n">
        <v>0</v>
      </c>
      <c r="H83" s="6" t="inlineStr">
        <is>
          <t>5</t>
        </is>
      </c>
      <c r="I83" s="6" t="inlineStr">
        <is>
          <t>5</t>
        </is>
      </c>
      <c r="J83" s="6" t="inlineStr">
        <is>
          <t>2026-06-12</t>
        </is>
      </c>
      <c r="K83" s="6" t="inlineStr">
        <is>
          <t>2026-06-29</t>
        </is>
      </c>
      <c r="L83" s="6" t="inlineStr">
        <is>
          <t>17</t>
        </is>
      </c>
      <c r="M83" s="6" t="inlineStr">
        <is>
          <t>24</t>
        </is>
      </c>
      <c r="N83" s="6" t="inlineStr">
        <is>
          <t>21</t>
        </is>
      </c>
      <c r="O83" s="6" t="inlineStr">
        <is>
          <t>K-D01</t>
        </is>
      </c>
      <c r="P83" s="6" t="inlineStr">
        <is>
          <t>Livonia</t>
        </is>
      </c>
      <c r="Q83" s="6" t="inlineStr">
        <is>
          <t>33523 Eight Mile Rd m2, Livonia, Michigan, 48152</t>
        </is>
      </c>
      <c r="R83" s="6" t="inlineStr">
        <is>
          <t>Kelly Fitzgibbons, MD (2 ortho) · Joseph V Giannola, MD (1 ortho) · Samantha Cherise Wein, MD (1 ortho) · William Paul White, MD (1 ortho)</t>
        </is>
      </c>
      <c r="S83" s="6" t="inlineStr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</row>
    <row r="84">
      <c r="A84" s="6" t="inlineStr">
        <is>
          <t>WAYNE MEDICAL CENTER, PLLC</t>
        </is>
      </c>
      <c r="B84" s="6" t="inlineStr">
        <is>
          <t>bc73cba3-b59d-4259-8bb7-6129abd353ab</t>
        </is>
      </c>
      <c r="C84" s="6" t="inlineStr">
        <is>
          <t>PCP</t>
        </is>
      </c>
      <c r="D84" s="6" t="inlineStr">
        <is>
          <t>Tier 2</t>
        </is>
      </c>
      <c r="E84" s="6" t="inlineStr">
        <is>
          <t>Ortho Referrer</t>
        </is>
      </c>
      <c r="F84" s="6" t="n">
        <v>59</v>
      </c>
      <c r="G84" s="6" t="n">
        <v>0</v>
      </c>
      <c r="H84" s="6" t="inlineStr">
        <is>
          <t>4</t>
        </is>
      </c>
      <c r="I84" s="6" t="inlineStr">
        <is>
          <t>4</t>
        </is>
      </c>
      <c r="J84" s="6" t="inlineStr">
        <is>
          <t>2026-06-24</t>
        </is>
      </c>
      <c r="K84" s="6" t="inlineStr">
        <is>
          <t>2026-07-06</t>
        </is>
      </c>
      <c r="L84" s="6" t="inlineStr">
        <is>
          <t>10</t>
        </is>
      </c>
      <c r="M84" s="6" t="inlineStr">
        <is>
          <t>39.5</t>
        </is>
      </c>
      <c r="N84" s="6" t="inlineStr">
        <is>
          <t>21</t>
        </is>
      </c>
      <c r="O84" s="6" t="inlineStr">
        <is>
          <t>K-D05</t>
        </is>
      </c>
      <c r="P84" s="6" t="inlineStr">
        <is>
          <t>WESTLAND</t>
        </is>
      </c>
      <c r="Q84" s="6" t="inlineStr">
        <is>
          <t>1203 S WAYNE RD, WESTLAND, Michigan</t>
        </is>
      </c>
      <c r="R84" s="6" t="inlineStr">
        <is>
          <t>Modini Liyanage, MD (4 ortho)</t>
        </is>
      </c>
      <c r="S84" s="6" t="inlineStr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>
      <c r="A85" s="6" t="inlineStr">
        <is>
          <t>Internal Medicine &amp; Primary Care Specialists- 1010</t>
        </is>
      </c>
      <c r="B85" s="6" t="inlineStr">
        <is>
          <t>1184660490</t>
        </is>
      </c>
      <c r="C85" s="6" t="inlineStr">
        <is>
          <t>PCP</t>
        </is>
      </c>
      <c r="D85" s="6" t="inlineStr">
        <is>
          <t>Tier 2</t>
        </is>
      </c>
      <c r="E85" s="6" t="inlineStr">
        <is>
          <t>Ortho Referrer</t>
        </is>
      </c>
      <c r="F85" s="6" t="n">
        <v>58</v>
      </c>
      <c r="G85" s="6" t="n">
        <v>0</v>
      </c>
      <c r="H85" s="6" t="inlineStr">
        <is>
          <t>4</t>
        </is>
      </c>
      <c r="I85" s="6" t="inlineStr">
        <is>
          <t>4</t>
        </is>
      </c>
      <c r="J85" s="6" t="inlineStr">
        <is>
          <t>2026-07-06</t>
        </is>
      </c>
      <c r="K85" s="6" t="inlineStr">
        <is>
          <t>2026-05-07</t>
        </is>
      </c>
      <c r="L85" s="6" t="inlineStr">
        <is>
          <t>70</t>
        </is>
      </c>
      <c r="M85" s="6" t="inlineStr">
        <is>
          <t>30.5</t>
        </is>
      </c>
      <c r="N85" s="6" t="inlineStr">
        <is>
          <t>21</t>
        </is>
      </c>
      <c r="O85" s="6" t="inlineStr">
        <is>
          <t>K-D07</t>
        </is>
      </c>
      <c r="P85" s="6" t="inlineStr">
        <is>
          <t>West Bloomfield</t>
        </is>
      </c>
      <c r="Q85" s="6" t="inlineStr">
        <is>
          <t>2300 Haggerty Road, ste 1010, West Bloomfield, MI, 48323</t>
        </is>
      </c>
      <c r="R85" s="6" t="inlineStr">
        <is>
          <t>Rachel West, PA (2 ortho) · Lawrence Dell, MD (1 ortho) · Eric Rosenbaum, DO (1 ortho)</t>
        </is>
      </c>
      <c r="S85" s="6" t="inlineStr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</row>
    <row r="86">
      <c r="A86" s="6" t="inlineStr">
        <is>
          <t>Primal Recovery and PT</t>
        </is>
      </c>
      <c r="B86" s="6" t="inlineStr">
        <is>
          <t>d7144e2d-aac6-4f68-a775-78db28d6b445</t>
        </is>
      </c>
      <c r="C86" s="6" t="inlineStr">
        <is>
          <t>PT</t>
        </is>
      </c>
      <c r="D86" s="6" t="inlineStr">
        <is>
          <t>Tier 2</t>
        </is>
      </c>
      <c r="E86" s="6" t="inlineStr">
        <is>
          <t>Ortho Referrer</t>
        </is>
      </c>
      <c r="F86" s="6" t="n">
        <v>58</v>
      </c>
      <c r="G86" s="6" t="n">
        <v>0</v>
      </c>
      <c r="H86" s="6" t="inlineStr">
        <is>
          <t>4</t>
        </is>
      </c>
      <c r="I86" s="6" t="inlineStr">
        <is>
          <t>4</t>
        </is>
      </c>
      <c r="J86" s="6" t="inlineStr">
        <is>
          <t>2026-05-26</t>
        </is>
      </c>
      <c r="K86" s="6" t="inlineStr">
        <is>
          <t>2026-06-30</t>
        </is>
      </c>
      <c r="L86" s="6" t="inlineStr">
        <is>
          <t>16</t>
        </is>
      </c>
      <c r="M86" s="6" t="inlineStr">
        <is>
          <t>28.5</t>
        </is>
      </c>
      <c r="N86" s="6" t="inlineStr">
        <is>
          <t>21</t>
        </is>
      </c>
      <c r="O86" s="6" t="inlineStr">
        <is>
          <t>K-D08</t>
        </is>
      </c>
      <c r="P86" s="6" t="inlineStr">
        <is>
          <t>Livonia</t>
        </is>
      </c>
      <c r="Q86" s="6" t="inlineStr">
        <is>
          <t>36600 Plymouth Road, Livonia, Michigan, 48150</t>
        </is>
      </c>
      <c r="R86" s="6" t="inlineStr">
        <is>
          <t>Spencer Nolff D, PT (4 ortho)</t>
        </is>
      </c>
      <c r="S86" s="6" t="inlineStr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>
      <c r="A87" s="6" t="inlineStr">
        <is>
          <t>Legacy Family Medicine</t>
        </is>
      </c>
      <c r="B87" s="6" t="inlineStr">
        <is>
          <t>1558340356</t>
        </is>
      </c>
      <c r="C87" s="6" t="inlineStr">
        <is>
          <t>PCP</t>
        </is>
      </c>
      <c r="D87" s="6" t="inlineStr">
        <is>
          <t>Tier 2</t>
        </is>
      </c>
      <c r="E87" s="6" t="inlineStr">
        <is>
          <t>Ortho Referrer</t>
        </is>
      </c>
      <c r="F87" s="6" t="n">
        <v>58</v>
      </c>
      <c r="G87" s="6" t="n">
        <v>0</v>
      </c>
      <c r="H87" s="6" t="inlineStr">
        <is>
          <t>4</t>
        </is>
      </c>
      <c r="I87" s="6" t="inlineStr">
        <is>
          <t>4</t>
        </is>
      </c>
      <c r="J87" s="6" t="inlineStr">
        <is>
          <t>2026-06-05</t>
        </is>
      </c>
      <c r="K87" s="6" t="inlineStr">
        <is>
          <t>2026-06-22</t>
        </is>
      </c>
      <c r="L87" s="6" t="inlineStr">
        <is>
          <t>24</t>
        </is>
      </c>
      <c r="M87" s="6" t="inlineStr">
        <is>
          <t>62.5</t>
        </is>
      </c>
      <c r="N87" s="6" t="inlineStr">
        <is>
          <t>21</t>
        </is>
      </c>
      <c r="O87" s="6" t="inlineStr">
        <is>
          <t>K-D13</t>
        </is>
      </c>
      <c r="P87" s="6" t="inlineStr">
        <is>
          <t>Sterling Heights</t>
        </is>
      </c>
      <c r="Q87" s="6" t="inlineStr">
        <is>
          <t>35429 Schoenherr Rd, Sterling Heights, MI, 48312</t>
        </is>
      </c>
      <c r="R87" s="6" t="inlineStr">
        <is>
          <t>Anthony Sayegh, DO (4 ortho)</t>
        </is>
      </c>
      <c r="S87" s="6" t="inlineStr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</row>
    <row r="88">
      <c r="A88" s="6" t="inlineStr">
        <is>
          <t>PRAVEEN MODI, MD, PC</t>
        </is>
      </c>
      <c r="B88" s="6" t="inlineStr">
        <is>
          <t>63a72095-741a-43fe-b865-a1f6398ee484</t>
        </is>
      </c>
      <c r="C88" s="6" t="inlineStr">
        <is>
          <t>PCP</t>
        </is>
      </c>
      <c r="D88" s="6" t="inlineStr">
        <is>
          <t>Tier 2</t>
        </is>
      </c>
      <c r="E88" s="6" t="inlineStr">
        <is>
          <t>Ortho Referrer</t>
        </is>
      </c>
      <c r="F88" s="6" t="n">
        <v>57</v>
      </c>
      <c r="G88" s="6" t="n">
        <v>0</v>
      </c>
      <c r="H88" s="6" t="inlineStr">
        <is>
          <t>9</t>
        </is>
      </c>
      <c r="I88" s="6" t="inlineStr">
        <is>
          <t>9</t>
        </is>
      </c>
      <c r="J88" s="6" t="inlineStr">
        <is>
          <t>2026-07-06</t>
        </is>
      </c>
      <c r="K88" s="6" t="inlineStr">
        <is>
          <t>2026-06-04</t>
        </is>
      </c>
      <c r="L88" s="6" t="inlineStr">
        <is>
          <t>42</t>
        </is>
      </c>
      <c r="M88" s="6" t="inlineStr">
        <is>
          <t>40</t>
        </is>
      </c>
      <c r="N88" s="6" t="inlineStr">
        <is>
          <t>21</t>
        </is>
      </c>
      <c r="O88" s="6" t="inlineStr">
        <is>
          <t>K-D05</t>
        </is>
      </c>
      <c r="P88" s="6" t="inlineStr">
        <is>
          <t>PLYMOUTH</t>
        </is>
      </c>
      <c r="Q88" s="6" t="inlineStr">
        <is>
          <t>9857 N HAGGERTY RD, PLYMOUTH, Michigan, MI 48170</t>
        </is>
      </c>
      <c r="R88" s="6" t="inlineStr">
        <is>
          <t>Praveen K Modi, MD (9 ortho)</t>
        </is>
      </c>
      <c r="S88" s="6" t="inlineStr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>
      <c r="A89" s="6" t="inlineStr">
        <is>
          <t>Premier Pediatrics Dearborn Heights</t>
        </is>
      </c>
      <c r="B89" s="6" t="inlineStr">
        <is>
          <t>bb55a71e-e12b-49be-9449-435cdc38cca4</t>
        </is>
      </c>
      <c r="C89" s="6" t="inlineStr">
        <is>
          <t>Pediatrics</t>
        </is>
      </c>
      <c r="D89" s="6" t="inlineStr">
        <is>
          <t>Tier 2</t>
        </is>
      </c>
      <c r="E89" s="6" t="inlineStr">
        <is>
          <t>Ortho Referrer</t>
        </is>
      </c>
      <c r="F89" s="6" t="n">
        <v>57</v>
      </c>
      <c r="G89" s="6" t="n">
        <v>0</v>
      </c>
      <c r="H89" s="6" t="inlineStr">
        <is>
          <t>4</t>
        </is>
      </c>
      <c r="I89" s="6" t="inlineStr">
        <is>
          <t>4</t>
        </is>
      </c>
      <c r="J89" s="6" t="inlineStr">
        <is>
          <t>2026-05-29</t>
        </is>
      </c>
      <c r="K89" s="6" t="inlineStr">
        <is>
          <t>2026-06-30</t>
        </is>
      </c>
      <c r="L89" s="6" t="inlineStr">
        <is>
          <t>16</t>
        </is>
      </c>
      <c r="M89" s="6" t="inlineStr">
        <is>
          <t>26</t>
        </is>
      </c>
      <c r="N89" s="6" t="inlineStr">
        <is>
          <t>21</t>
        </is>
      </c>
      <c r="O89" s="6" t="inlineStr">
        <is>
          <t>K-D12</t>
        </is>
      </c>
      <c r="P89" s="6" t="inlineStr">
        <is>
          <t>Dearborn Heights</t>
        </is>
      </c>
      <c r="Q89" s="6" t="inlineStr">
        <is>
          <t>22318 Ford Road, Dearborn Heights, Michigan, 48127</t>
        </is>
      </c>
      <c r="R89" s="6" t="inlineStr">
        <is>
          <t>Mazen Hamameh, DO (4 ortho)</t>
        </is>
      </c>
      <c r="S89" s="6" t="inlineStr">
        <is>
          <t>Pediatric (Jul 20 rule) → Review for removal</t>
        </is>
      </c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</row>
    <row r="90">
      <c r="A90" s="6" t="inlineStr">
        <is>
          <t>Patrick Kut MD PC</t>
        </is>
      </c>
      <c r="B90" s="6" t="inlineStr">
        <is>
          <t>eca14fb7-48cb-4968-b258-b97a854b34c1</t>
        </is>
      </c>
      <c r="C90" s="6" t="inlineStr">
        <is>
          <t>PCP</t>
        </is>
      </c>
      <c r="D90" s="6" t="inlineStr">
        <is>
          <t>Tier 2</t>
        </is>
      </c>
      <c r="E90" s="6" t="inlineStr">
        <is>
          <t>Ortho Referrer</t>
        </is>
      </c>
      <c r="F90" s="6" t="n">
        <v>57</v>
      </c>
      <c r="G90" s="6" t="n">
        <v>0</v>
      </c>
      <c r="H90" s="6" t="inlineStr">
        <is>
          <t>4</t>
        </is>
      </c>
      <c r="I90" s="6" t="inlineStr">
        <is>
          <t>4</t>
        </is>
      </c>
      <c r="J90" s="6" t="inlineStr">
        <is>
          <t>2026-06-18</t>
        </is>
      </c>
      <c r="K90" s="6" t="inlineStr">
        <is>
          <t>2026-05-05</t>
        </is>
      </c>
      <c r="L90" s="6" t="inlineStr">
        <is>
          <t>72</t>
        </is>
      </c>
      <c r="M90" s="6" t="inlineStr">
        <is>
          <t>27</t>
        </is>
      </c>
      <c r="N90" s="6" t="inlineStr">
        <is>
          <t>21</t>
        </is>
      </c>
      <c r="O90" s="6" t="inlineStr">
        <is>
          <t>K-D16</t>
        </is>
      </c>
      <c r="P90" s="6" t="inlineStr">
        <is>
          <t>Marysville</t>
        </is>
      </c>
      <c r="Q90" s="6" t="inlineStr">
        <is>
          <t>1985 Gratiot Boulevard, Marysville, Michigan, 48040</t>
        </is>
      </c>
      <c r="R90" s="6" t="inlineStr">
        <is>
          <t>Patrick Kut, MD (4 ortho)</t>
        </is>
      </c>
      <c r="S90" s="6" t="inlineStr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>
      <c r="A91" s="6" t="inlineStr">
        <is>
          <t>SUNNY PEDIATRICS AND FAMILY</t>
        </is>
      </c>
      <c r="B91" s="6" t="inlineStr">
        <is>
          <t>2f39cd70-3e7f-4323-8222-52b01a24c007</t>
        </is>
      </c>
      <c r="C91" s="6" t="inlineStr">
        <is>
          <t>Pediatrics</t>
        </is>
      </c>
      <c r="D91" s="6" t="inlineStr">
        <is>
          <t>Tier 2</t>
        </is>
      </c>
      <c r="E91" s="6" t="inlineStr">
        <is>
          <t>Ortho Referrer</t>
        </is>
      </c>
      <c r="F91" s="6" t="n">
        <v>56</v>
      </c>
      <c r="G91" s="6" t="n">
        <v>0</v>
      </c>
      <c r="H91" s="6" t="inlineStr">
        <is>
          <t>7</t>
        </is>
      </c>
      <c r="I91" s="6" t="inlineStr">
        <is>
          <t>7</t>
        </is>
      </c>
      <c r="J91" s="6" t="inlineStr">
        <is>
          <t>2026-07-09</t>
        </is>
      </c>
      <c r="K91" s="6" t="inlineStr">
        <is>
          <t>2026-05-20</t>
        </is>
      </c>
      <c r="L91" s="6" t="inlineStr">
        <is>
          <t>57</t>
        </is>
      </c>
      <c r="M91" s="6" t="inlineStr">
        <is>
          <t>56</t>
        </is>
      </c>
      <c r="N91" s="6" t="inlineStr">
        <is>
          <t>21</t>
        </is>
      </c>
      <c r="O91" s="6" t="inlineStr">
        <is>
          <t>K-D05</t>
        </is>
      </c>
      <c r="P91" s="6" t="inlineStr">
        <is>
          <t>CANTON</t>
        </is>
      </c>
      <c r="Q91" s="6" t="inlineStr">
        <is>
          <t>5820 N CANTON CENTER RD STE 186, CANTON, Michigan</t>
        </is>
      </c>
      <c r="R91" s="6" t="inlineStr">
        <is>
          <t>Sana Syed, MD (5 ortho) · Navin Raj, MD (2 ortho)</t>
        </is>
      </c>
      <c r="S91" s="6" t="inlineStr">
        <is>
          <t>Pediatric (Jul 20 rule) → Review for removal</t>
        </is>
      </c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</row>
    <row r="92">
      <c r="A92" s="6" t="inlineStr">
        <is>
          <t>Souva PT and Performance</t>
        </is>
      </c>
      <c r="B92" s="6" t="inlineStr">
        <is>
          <t>ff1e6dda-d122-4127-b4fe-e380950051e4</t>
        </is>
      </c>
      <c r="C92" s="6" t="inlineStr">
        <is>
          <t>PT</t>
        </is>
      </c>
      <c r="D92" s="6" t="inlineStr">
        <is>
          <t>Tier 2</t>
        </is>
      </c>
      <c r="E92" s="6" t="inlineStr">
        <is>
          <t>Ortho Referrer</t>
        </is>
      </c>
      <c r="F92" s="6" t="n">
        <v>55</v>
      </c>
      <c r="G92" s="6" t="n">
        <v>0</v>
      </c>
      <c r="H92" s="6" t="inlineStr">
        <is>
          <t>6</t>
        </is>
      </c>
      <c r="I92" s="6" t="inlineStr">
        <is>
          <t>6</t>
        </is>
      </c>
      <c r="J92" s="6" t="inlineStr">
        <is>
          <t>2026-05-26</t>
        </is>
      </c>
      <c r="K92" s="6" t="inlineStr">
        <is>
          <t>2026-06-22</t>
        </is>
      </c>
      <c r="L92" s="6" t="inlineStr">
        <is>
          <t>24</t>
        </is>
      </c>
      <c r="M92" s="6" t="inlineStr">
        <is>
          <t>52</t>
        </is>
      </c>
      <c r="N92" s="6" t="inlineStr">
        <is>
          <t>21</t>
        </is>
      </c>
      <c r="O92" s="6" t="inlineStr">
        <is>
          <t>K-D15</t>
        </is>
      </c>
      <c r="P92" s="6" t="n">
        <v/>
      </c>
      <c r="Q92" s="6" t="inlineStr">
        <is>
          <t>51220 Van Dyke Ave Shelby Township, Michigan, 48316</t>
        </is>
      </c>
      <c r="R92" s="6" t="inlineStr">
        <is>
          <t>Jake Souva D, PT (6 ortho)</t>
        </is>
      </c>
      <c r="S92" s="6" t="inlineStr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>
      <c r="A93" s="6" t="inlineStr">
        <is>
          <t>iTest Health Family Medicine</t>
        </is>
      </c>
      <c r="B93" s="6" t="inlineStr">
        <is>
          <t>2217eb9b-1f7c-434b-9c5f-77ebd185fb7c</t>
        </is>
      </c>
      <c r="C93" s="6" t="inlineStr">
        <is>
          <t>PCP</t>
        </is>
      </c>
      <c r="D93" s="6" t="inlineStr">
        <is>
          <t>Tier 2</t>
        </is>
      </c>
      <c r="E93" s="6" t="inlineStr">
        <is>
          <t>Ortho Referrer</t>
        </is>
      </c>
      <c r="F93" s="6" t="n">
        <v>53</v>
      </c>
      <c r="G93" s="6" t="n">
        <v>0</v>
      </c>
      <c r="H93" s="6" t="inlineStr">
        <is>
          <t>2</t>
        </is>
      </c>
      <c r="I93" s="6" t="inlineStr">
        <is>
          <t>2</t>
        </is>
      </c>
      <c r="J93" s="6" t="inlineStr">
        <is>
          <t>2026-05-21</t>
        </is>
      </c>
      <c r="K93" s="6" t="inlineStr">
        <is>
          <t>2026-06-29</t>
        </is>
      </c>
      <c r="L93" s="6" t="inlineStr">
        <is>
          <t>17</t>
        </is>
      </c>
      <c r="M93" s="6" t="inlineStr">
        <is>
          <t>50</t>
        </is>
      </c>
      <c r="N93" s="6" t="inlineStr">
        <is>
          <t>21</t>
        </is>
      </c>
      <c r="O93" s="6" t="inlineStr">
        <is>
          <t>K-D08</t>
        </is>
      </c>
      <c r="P93" s="6" t="inlineStr">
        <is>
          <t>Livonia</t>
        </is>
      </c>
      <c r="Q93" s="6" t="inlineStr">
        <is>
          <t>14700 Farmington Rd suite 105, Livonia, Michigan, 48154</t>
        </is>
      </c>
      <c r="R93" s="6" t="inlineStr">
        <is>
          <t>Stacey Bartell, MD (2 ortho)</t>
        </is>
      </c>
      <c r="S93" s="6" t="inlineStr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</row>
    <row r="94">
      <c r="A94" s="6" t="inlineStr">
        <is>
          <t>Trinity IHA Primary Care - Schoolcraft Campus</t>
        </is>
      </c>
      <c r="B94" s="6" t="inlineStr">
        <is>
          <t>4b1cacba-85fb-4f63-8660-c3314cf72677</t>
        </is>
      </c>
      <c r="C94" s="6" t="inlineStr">
        <is>
          <t>PCP</t>
        </is>
      </c>
      <c r="D94" s="6" t="inlineStr">
        <is>
          <t>Tier 2</t>
        </is>
      </c>
      <c r="E94" s="6" t="inlineStr">
        <is>
          <t>Ortho Referrer</t>
        </is>
      </c>
      <c r="F94" s="6" t="n">
        <v>53</v>
      </c>
      <c r="G94" s="6" t="n">
        <v>0</v>
      </c>
      <c r="H94" s="6" t="inlineStr">
        <is>
          <t>3</t>
        </is>
      </c>
      <c r="I94" s="6" t="inlineStr">
        <is>
          <t>3</t>
        </is>
      </c>
      <c r="J94" s="6" t="inlineStr">
        <is>
          <t>2026-06-29</t>
        </is>
      </c>
      <c r="K94" s="6" t="inlineStr">
        <is>
          <t>2026-06-30</t>
        </is>
      </c>
      <c r="L94" s="6" t="inlineStr">
        <is>
          <t>16</t>
        </is>
      </c>
      <c r="M94" s="6" t="inlineStr">
        <is>
          <t>56</t>
        </is>
      </c>
      <c r="N94" s="6" t="inlineStr">
        <is>
          <t>21</t>
        </is>
      </c>
      <c r="O94" s="6" t="inlineStr">
        <is>
          <t>K-D14</t>
        </is>
      </c>
      <c r="P94" s="6" t="inlineStr">
        <is>
          <t>Livonia</t>
        </is>
      </c>
      <c r="Q94" s="6" t="inlineStr">
        <is>
          <t>19000 St Joe's Pkwy suite 200, Livonia, Michigan, 48152</t>
        </is>
      </c>
      <c r="R94" s="6" t="inlineStr">
        <is>
          <t>Jenny Shih, DO (2 ortho) · Michelle Klink, DO (1 ortho)</t>
        </is>
      </c>
      <c r="S94" s="6" t="inlineStr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>
      <c r="A95" s="6" t="inlineStr">
        <is>
          <t>Cornerstone St. Clair Internists</t>
        </is>
      </c>
      <c r="B95" s="6" t="inlineStr">
        <is>
          <t>cc9cf66d-2e3c-4e56-9aeb-85ba4b7e600c</t>
        </is>
      </c>
      <c r="C95" s="6" t="inlineStr">
        <is>
          <t>PCP</t>
        </is>
      </c>
      <c r="D95" s="6" t="inlineStr">
        <is>
          <t>Tier 2</t>
        </is>
      </c>
      <c r="E95" s="6" t="inlineStr">
        <is>
          <t>Ortho Referrer</t>
        </is>
      </c>
      <c r="F95" s="6" t="n">
        <v>53</v>
      </c>
      <c r="G95" s="6" t="n">
        <v>0</v>
      </c>
      <c r="H95" s="6" t="inlineStr">
        <is>
          <t>3</t>
        </is>
      </c>
      <c r="I95" s="6" t="inlineStr">
        <is>
          <t>3</t>
        </is>
      </c>
      <c r="J95" s="6" t="inlineStr">
        <is>
          <t>2026-06-01</t>
        </is>
      </c>
      <c r="K95" s="6" t="inlineStr">
        <is>
          <t>2026-06-22</t>
        </is>
      </c>
      <c r="L95" s="6" t="inlineStr">
        <is>
          <t>24</t>
        </is>
      </c>
      <c r="M95" s="6" t="inlineStr">
        <is>
          <t>17</t>
        </is>
      </c>
      <c r="N95" s="6" t="inlineStr">
        <is>
          <t>21</t>
        </is>
      </c>
      <c r="O95" s="6" t="inlineStr">
        <is>
          <t>K-D15</t>
        </is>
      </c>
      <c r="P95" s="6" t="inlineStr">
        <is>
          <t>Shelby Township</t>
        </is>
      </c>
      <c r="Q95" s="6" t="inlineStr">
        <is>
          <t>45640 Schoenherr Rd, Shelby Township, Michigan, 48315</t>
        </is>
      </c>
      <c r="R95" s="6" t="inlineStr">
        <is>
          <t>Mark Dukaj, MD (2 ortho) · Bryan Eastes (1 ortho)</t>
        </is>
      </c>
      <c r="S95" s="6" t="inlineStr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</row>
    <row r="96">
      <c r="A96" s="6" t="inlineStr">
        <is>
          <t>Internal Medicine Associates Port Huron</t>
        </is>
      </c>
      <c r="B96" s="6" t="inlineStr">
        <is>
          <t>8afa43db-e543-40bf-9328-2479a24606d8</t>
        </is>
      </c>
      <c r="C96" s="6" t="inlineStr">
        <is>
          <t>PCP</t>
        </is>
      </c>
      <c r="D96" s="6" t="inlineStr">
        <is>
          <t>Tier 2</t>
        </is>
      </c>
      <c r="E96" s="6" t="inlineStr">
        <is>
          <t>Ortho Referrer</t>
        </is>
      </c>
      <c r="F96" s="6" t="n">
        <v>53</v>
      </c>
      <c r="G96" s="6" t="n">
        <v>0</v>
      </c>
      <c r="H96" s="6" t="inlineStr">
        <is>
          <t>2</t>
        </is>
      </c>
      <c r="I96" s="6" t="inlineStr">
        <is>
          <t>2</t>
        </is>
      </c>
      <c r="J96" s="6" t="inlineStr">
        <is>
          <t>2026-05-06</t>
        </is>
      </c>
      <c r="K96" s="6" t="inlineStr">
        <is>
          <t>2026-06-25</t>
        </is>
      </c>
      <c r="L96" s="6" t="inlineStr">
        <is>
          <t>21</t>
        </is>
      </c>
      <c r="M96" s="6" t="inlineStr">
        <is>
          <t>18</t>
        </is>
      </c>
      <c r="N96" s="6" t="inlineStr">
        <is>
          <t>21</t>
        </is>
      </c>
      <c r="O96" s="6" t="inlineStr">
        <is>
          <t>K-D16</t>
        </is>
      </c>
      <c r="P96" s="6" t="inlineStr">
        <is>
          <t>Port Huron</t>
        </is>
      </c>
      <c r="Q96" s="6" t="inlineStr">
        <is>
          <t>1201 Stone St suite 5, Port Huron, Michigan, 48060</t>
        </is>
      </c>
      <c r="R96" s="6" t="inlineStr">
        <is>
          <t>Riad Robert Hajjar, MD (1 ortho) · Sajjad Saeed (1 ortho)</t>
        </is>
      </c>
      <c r="S96" s="6" t="inlineStr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>
      <c r="A97" s="6" t="inlineStr">
        <is>
          <t>Grosse Pointe Physicians and Surgeons</t>
        </is>
      </c>
      <c r="B97" s="6" t="inlineStr">
        <is>
          <t>8c2316fd-41e0-4fe5-b02a-8a481768ec08</t>
        </is>
      </c>
      <c r="C97" s="6" t="inlineStr">
        <is>
          <t>PCP</t>
        </is>
      </c>
      <c r="D97" s="6" t="inlineStr">
        <is>
          <t>Tier 2</t>
        </is>
      </c>
      <c r="E97" s="6" t="inlineStr">
        <is>
          <t>Ortho Referrer</t>
        </is>
      </c>
      <c r="F97" s="6" t="n">
        <v>53</v>
      </c>
      <c r="G97" s="6" t="n">
        <v>0</v>
      </c>
      <c r="H97" s="6" t="inlineStr">
        <is>
          <t>2</t>
        </is>
      </c>
      <c r="I97" s="6" t="inlineStr">
        <is>
          <t>2</t>
        </is>
      </c>
      <c r="J97" s="6" t="inlineStr">
        <is>
          <t>2026-04-08</t>
        </is>
      </c>
      <c r="K97" s="6" t="inlineStr">
        <is>
          <t>2026-07-07</t>
        </is>
      </c>
      <c r="L97" s="6" t="inlineStr">
        <is>
          <t>9</t>
        </is>
      </c>
      <c r="M97" s="6" t="inlineStr">
        <is>
          <t>41.5</t>
        </is>
      </c>
      <c r="N97" s="6" t="inlineStr">
        <is>
          <t>21</t>
        </is>
      </c>
      <c r="O97" s="6" t="inlineStr">
        <is>
          <t>K-D17</t>
        </is>
      </c>
      <c r="P97" s="6" t="inlineStr">
        <is>
          <t>Grosse Pointe</t>
        </is>
      </c>
      <c r="Q97" s="6" t="inlineStr">
        <is>
          <t>17000 Kercheval Ave suite 205, Grosse Pointe, Michigan, 48230</t>
        </is>
      </c>
      <c r="R97" s="6" t="inlineStr">
        <is>
          <t>Andrew Kotsis, DO (2 ortho)</t>
        </is>
      </c>
      <c r="S97" s="6" t="inlineStr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</row>
    <row r="98">
      <c r="A98" s="6" t="inlineStr">
        <is>
          <t>Dr. Carley and Associates</t>
        </is>
      </c>
      <c r="B98" s="6" t="inlineStr">
        <is>
          <t>045c37c9-22cf-4959-b217-ecbbf986a60c</t>
        </is>
      </c>
      <c r="C98" s="6" t="inlineStr">
        <is>
          <t>PCP</t>
        </is>
      </c>
      <c r="D98" s="6" t="inlineStr">
        <is>
          <t>Tier 2</t>
        </is>
      </c>
      <c r="E98" s="6" t="inlineStr">
        <is>
          <t>Ortho Referrer</t>
        </is>
      </c>
      <c r="F98" s="6" t="n">
        <v>53</v>
      </c>
      <c r="G98" s="6" t="n">
        <v>0</v>
      </c>
      <c r="H98" s="6" t="inlineStr">
        <is>
          <t>2</t>
        </is>
      </c>
      <c r="I98" s="6" t="inlineStr">
        <is>
          <t>2</t>
        </is>
      </c>
      <c r="J98" s="6" t="inlineStr">
        <is>
          <t>2026-05-14</t>
        </is>
      </c>
      <c r="K98" s="6" t="inlineStr">
        <is>
          <t>2026-06-25</t>
        </is>
      </c>
      <c r="L98" s="6" t="inlineStr">
        <is>
          <t>21</t>
        </is>
      </c>
      <c r="M98" s="6" t="inlineStr">
        <is>
          <t>7.5</t>
        </is>
      </c>
      <c r="N98" s="6" t="inlineStr">
        <is>
          <t>21</t>
        </is>
      </c>
      <c r="O98" s="6" t="inlineStr">
        <is>
          <t>K-D18</t>
        </is>
      </c>
      <c r="P98" s="6" t="inlineStr">
        <is>
          <t>Port Huron</t>
        </is>
      </c>
      <c r="Q98" s="6" t="inlineStr">
        <is>
          <t>1943 Holland Ave, Port Huron, Michigan, 48060</t>
        </is>
      </c>
      <c r="R98" s="6" t="inlineStr">
        <is>
          <t>Reid Stromberg, MD (2 ortho)</t>
        </is>
      </c>
      <c r="S98" s="6" t="inlineStr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>
      <c r="A99" s="6" t="inlineStr">
        <is>
          <t>Sterling Family Medicine</t>
        </is>
      </c>
      <c r="B99" s="6" t="inlineStr">
        <is>
          <t>1598941148</t>
        </is>
      </c>
      <c r="C99" s="6" t="inlineStr">
        <is>
          <t>PCP</t>
        </is>
      </c>
      <c r="D99" s="6" t="inlineStr">
        <is>
          <t>Tier 2</t>
        </is>
      </c>
      <c r="E99" s="6" t="inlineStr">
        <is>
          <t>Ortho Referrer</t>
        </is>
      </c>
      <c r="F99" s="6" t="n">
        <v>52</v>
      </c>
      <c r="G99" s="6" t="n">
        <v>0</v>
      </c>
      <c r="H99" s="6" t="inlineStr">
        <is>
          <t>2</t>
        </is>
      </c>
      <c r="I99" s="6" t="inlineStr">
        <is>
          <t>2</t>
        </is>
      </c>
      <c r="J99" s="6" t="inlineStr">
        <is>
          <t>2026-05-13</t>
        </is>
      </c>
      <c r="K99" s="6" t="inlineStr">
        <is>
          <t>2026-07-13</t>
        </is>
      </c>
      <c r="L99" s="6" t="inlineStr">
        <is>
          <t>3</t>
        </is>
      </c>
      <c r="M99" s="6" t="inlineStr">
        <is>
          <t>36.5</t>
        </is>
      </c>
      <c r="N99" s="6" t="inlineStr">
        <is>
          <t>21</t>
        </is>
      </c>
      <c r="O99" s="6" t="inlineStr">
        <is>
          <t>K-D04</t>
        </is>
      </c>
      <c r="P99" s="6" t="inlineStr">
        <is>
          <t>Warren</t>
        </is>
      </c>
      <c r="Q99" s="6" t="inlineStr">
        <is>
          <t>2539 E 12 Mile Rd, Warren, MI, 48092</t>
        </is>
      </c>
      <c r="R99" s="6" t="inlineStr">
        <is>
          <t>Oleh Bolukh, MD (2 ortho)</t>
        </is>
      </c>
      <c r="S99" s="6" t="inlineStr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</row>
    <row r="100">
      <c r="A100" s="6" t="inlineStr">
        <is>
          <t>Silver Pine Medical Group - Sterling Heights</t>
        </is>
      </c>
      <c r="B100" s="6" t="inlineStr">
        <is>
          <t>cac69af6-f814-4339-a4f4-d8cd7112ec3c</t>
        </is>
      </c>
      <c r="C100" s="6" t="inlineStr">
        <is>
          <t>PCP</t>
        </is>
      </c>
      <c r="D100" s="6" t="inlineStr">
        <is>
          <t>Tier 2</t>
        </is>
      </c>
      <c r="E100" s="6" t="inlineStr">
        <is>
          <t>Ortho Referrer</t>
        </is>
      </c>
      <c r="F100" s="6" t="n">
        <v>52</v>
      </c>
      <c r="G100" s="6" t="n">
        <v>0</v>
      </c>
      <c r="H100" s="6" t="inlineStr">
        <is>
          <t>2</t>
        </is>
      </c>
      <c r="I100" s="6" t="inlineStr">
        <is>
          <t>3</t>
        </is>
      </c>
      <c r="J100" s="6" t="inlineStr">
        <is>
          <t>2026-05-05</t>
        </is>
      </c>
      <c r="K100" s="6" t="inlineStr">
        <is>
          <t>2026-06-22</t>
        </is>
      </c>
      <c r="L100" s="6" t="inlineStr">
        <is>
          <t>24</t>
        </is>
      </c>
      <c r="M100" s="6" t="inlineStr">
        <is>
          <t>32</t>
        </is>
      </c>
      <c r="N100" s="6" t="inlineStr">
        <is>
          <t>21</t>
        </is>
      </c>
      <c r="O100" s="6" t="inlineStr">
        <is>
          <t>K-D15</t>
        </is>
      </c>
      <c r="P100" s="6" t="inlineStr">
        <is>
          <t>Sterling Heights</t>
        </is>
      </c>
      <c r="Q100" s="6" t="inlineStr">
        <is>
          <t>43455 Schoenherr Rd ste 2, Sterling Heights, Michigan, 48313</t>
        </is>
      </c>
      <c r="R100" s="6" t="inlineStr">
        <is>
          <t>Jennifer L Hichme, MD (1 ortho) · Steven J Thibault, MD (1 ortho)</t>
        </is>
      </c>
      <c r="S100" s="6" t="inlineStr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>
      <c r="A101" s="6" t="inlineStr">
        <is>
          <t>Corewell Health Farmington Hills Hospital Family Medicine</t>
        </is>
      </c>
      <c r="B101" s="6" t="inlineStr">
        <is>
          <t>3edb39b0-eee8-436d-b215-e28e186500be</t>
        </is>
      </c>
      <c r="C101" s="6" t="inlineStr">
        <is>
          <t>PCP</t>
        </is>
      </c>
      <c r="D101" s="6" t="inlineStr">
        <is>
          <t>Tier 2</t>
        </is>
      </c>
      <c r="E101" s="6" t="inlineStr">
        <is>
          <t>Ortho Referrer</t>
        </is>
      </c>
      <c r="F101" s="6" t="n">
        <v>51</v>
      </c>
      <c r="G101" s="6" t="n">
        <v>0</v>
      </c>
      <c r="H101" s="6" t="inlineStr">
        <is>
          <t>3</t>
        </is>
      </c>
      <c r="I101" s="6" t="inlineStr">
        <is>
          <t>4</t>
        </is>
      </c>
      <c r="J101" s="6" t="inlineStr">
        <is>
          <t>2026-04-13</t>
        </is>
      </c>
      <c r="K101" s="6" t="inlineStr">
        <is>
          <t>2026-05-13</t>
        </is>
      </c>
      <c r="L101" s="6" t="inlineStr">
        <is>
          <t>64</t>
        </is>
      </c>
      <c r="M101" s="6" t="inlineStr">
        <is>
          <t>59</t>
        </is>
      </c>
      <c r="N101" s="6" t="inlineStr">
        <is>
          <t>21</t>
        </is>
      </c>
      <c r="O101" s="6" t="inlineStr">
        <is>
          <t>K-D01</t>
        </is>
      </c>
      <c r="P101" s="6" t="inlineStr">
        <is>
          <t>FARMINGTON HILLS</t>
        </is>
      </c>
      <c r="Q101" s="6" t="inlineStr">
        <is>
          <t>28100 GRAND RIVER AVE STE 313, FARMINGTON HILLS, Michigan</t>
        </is>
      </c>
      <c r="R101" s="6" t="inlineStr">
        <is>
          <t>Matthew Sebastian, DO (2 ortho) · Annie Craib, DO (1 ortho)</t>
        </is>
      </c>
      <c r="S101" s="6" t="inlineStr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</row>
    <row r="102">
      <c r="A102" s="6" t="inlineStr">
        <is>
          <t>Henry Ford Internal &amp; Family Medicine - Farmington Hills -170</t>
        </is>
      </c>
      <c r="B102" s="6" t="inlineStr">
        <is>
          <t>4854db87-cb06-45bd-9c8a-7a3e77cfa827</t>
        </is>
      </c>
      <c r="C102" s="6" t="inlineStr">
        <is>
          <t>PCP</t>
        </is>
      </c>
      <c r="D102" s="6" t="inlineStr">
        <is>
          <t>Tier 2</t>
        </is>
      </c>
      <c r="E102" s="6" t="inlineStr">
        <is>
          <t>Ortho Referrer</t>
        </is>
      </c>
      <c r="F102" s="6" t="n">
        <v>51</v>
      </c>
      <c r="G102" s="6" t="n">
        <v>0</v>
      </c>
      <c r="H102" s="6" t="inlineStr">
        <is>
          <t>2</t>
        </is>
      </c>
      <c r="I102" s="6" t="inlineStr">
        <is>
          <t>2</t>
        </is>
      </c>
      <c r="J102" s="6" t="inlineStr">
        <is>
          <t>2026-04-16</t>
        </is>
      </c>
      <c r="K102" s="6" t="inlineStr">
        <is>
          <t>2026-05-08</t>
        </is>
      </c>
      <c r="L102" s="6" t="inlineStr">
        <is>
          <t>69</t>
        </is>
      </c>
      <c r="M102" s="6" t="inlineStr">
        <is>
          <t>34.5</t>
        </is>
      </c>
      <c r="N102" s="6" t="inlineStr">
        <is>
          <t>21</t>
        </is>
      </c>
      <c r="O102" s="6" t="inlineStr">
        <is>
          <t>K-D02</t>
        </is>
      </c>
      <c r="P102" s="6" t="inlineStr">
        <is>
          <t>Farmington Hills</t>
        </is>
      </c>
      <c r="Q102" s="6" t="inlineStr">
        <is>
          <t>30055 Northwestern Hwy suite 170, Farmington Hills, Michigan, 48334</t>
        </is>
      </c>
      <c r="R102" s="6" t="inlineStr">
        <is>
          <t>Nahid Elyas, MD (2 ortho)</t>
        </is>
      </c>
      <c r="S102" s="6" t="inlineStr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>
      <c r="A103" s="6" t="inlineStr">
        <is>
          <t>Corewell Health Family Medicine - Farmington Hills</t>
        </is>
      </c>
      <c r="B103" s="6" t="inlineStr">
        <is>
          <t>f4e08b14-ec91-4b48-b82c-2c7f762bf721</t>
        </is>
      </c>
      <c r="C103" s="6" t="inlineStr">
        <is>
          <t>PCP</t>
        </is>
      </c>
      <c r="D103" s="6" t="inlineStr">
        <is>
          <t>Tier 2</t>
        </is>
      </c>
      <c r="E103" s="6" t="inlineStr">
        <is>
          <t>Ortho Referrer</t>
        </is>
      </c>
      <c r="F103" s="6" t="n">
        <v>51</v>
      </c>
      <c r="G103" s="6" t="n">
        <v>0</v>
      </c>
      <c r="H103" s="6" t="inlineStr">
        <is>
          <t>3</t>
        </is>
      </c>
      <c r="I103" s="6" t="inlineStr">
        <is>
          <t>4</t>
        </is>
      </c>
      <c r="J103" s="6" t="inlineStr">
        <is>
          <t>2026-06-19</t>
        </is>
      </c>
      <c r="K103" s="6" t="inlineStr">
        <is>
          <t>2026-05-08</t>
        </is>
      </c>
      <c r="L103" s="6" t="inlineStr">
        <is>
          <t>69</t>
        </is>
      </c>
      <c r="M103" s="6" t="inlineStr">
        <is>
          <t>46</t>
        </is>
      </c>
      <c r="N103" s="6" t="inlineStr">
        <is>
          <t>21</t>
        </is>
      </c>
      <c r="O103" s="6" t="inlineStr">
        <is>
          <t>K-D03</t>
        </is>
      </c>
      <c r="P103" s="6" t="inlineStr">
        <is>
          <t>FARMINGTON HILLS</t>
        </is>
      </c>
      <c r="Q103" s="6" t="inlineStr">
        <is>
          <t>29645 W 14 mile rd, ste 110, FARMINGTON HILLS, Michigan, 48334</t>
        </is>
      </c>
      <c r="R103" s="6" t="inlineStr">
        <is>
          <t>Renee Farah, MD (1 ortho) · Renee Afram Farah, MD (1 ortho) · Valerie Johnson, MD (1 ortho)</t>
        </is>
      </c>
      <c r="S103" s="6" t="inlineStr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</row>
    <row r="104">
      <c r="A104" s="6" t="inlineStr">
        <is>
          <t>MDVip - Southfield</t>
        </is>
      </c>
      <c r="B104" s="6" t="inlineStr">
        <is>
          <t>795ab9a0-8c97-4995-83b6-2fe8b10fcf2a</t>
        </is>
      </c>
      <c r="C104" s="6" t="inlineStr">
        <is>
          <t>PCP</t>
        </is>
      </c>
      <c r="D104" s="6" t="inlineStr">
        <is>
          <t>Tier 2</t>
        </is>
      </c>
      <c r="E104" s="6" t="inlineStr">
        <is>
          <t>Ortho Referrer</t>
        </is>
      </c>
      <c r="F104" s="6" t="n">
        <v>51</v>
      </c>
      <c r="G104" s="6" t="n">
        <v>0</v>
      </c>
      <c r="H104" s="6" t="inlineStr">
        <is>
          <t>2</t>
        </is>
      </c>
      <c r="I104" s="6" t="inlineStr">
        <is>
          <t>2</t>
        </is>
      </c>
      <c r="J104" s="6" t="inlineStr">
        <is>
          <t>2026-05-04</t>
        </is>
      </c>
      <c r="K104" s="6" t="inlineStr">
        <is>
          <t>2026-05-27</t>
        </is>
      </c>
      <c r="L104" s="6" t="inlineStr">
        <is>
          <t>50</t>
        </is>
      </c>
      <c r="M104" s="6" t="inlineStr">
        <is>
          <t>62</t>
        </is>
      </c>
      <c r="N104" s="6" t="inlineStr">
        <is>
          <t>21</t>
        </is>
      </c>
      <c r="O104" s="6" t="inlineStr">
        <is>
          <t>K-D03</t>
        </is>
      </c>
      <c r="P104" s="6" t="inlineStr">
        <is>
          <t>Southfield</t>
        </is>
      </c>
      <c r="Q104" s="6" t="inlineStr">
        <is>
          <t>29275 Northwestern Hwy suite 202, Southfield, Michigan, 48034</t>
        </is>
      </c>
      <c r="R104" s="6" t="inlineStr">
        <is>
          <t>Sandra S Lerner, DO (2 ortho)</t>
        </is>
      </c>
      <c r="S104" s="6" t="inlineStr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>
      <c r="A105" s="6" t="inlineStr">
        <is>
          <t>FAMILY MEDICINE, PC</t>
        </is>
      </c>
      <c r="B105" s="6" t="inlineStr">
        <is>
          <t>e81bc37f-2055-4c48-8e89-e2bca87d2f73</t>
        </is>
      </c>
      <c r="C105" s="6" t="inlineStr">
        <is>
          <t>PCP</t>
        </is>
      </c>
      <c r="D105" s="6" t="inlineStr">
        <is>
          <t>Tier 2</t>
        </is>
      </c>
      <c r="E105" s="6" t="inlineStr">
        <is>
          <t>Ortho Referrer</t>
        </is>
      </c>
      <c r="F105" s="6" t="n">
        <v>51</v>
      </c>
      <c r="G105" s="6" t="n">
        <v>0</v>
      </c>
      <c r="H105" s="6" t="inlineStr">
        <is>
          <t>2</t>
        </is>
      </c>
      <c r="I105" s="6" t="inlineStr">
        <is>
          <t>2</t>
        </is>
      </c>
      <c r="J105" s="6" t="inlineStr">
        <is>
          <t>2026-05-08</t>
        </is>
      </c>
      <c r="K105" s="6" t="inlineStr">
        <is>
          <t>2026-05-27</t>
        </is>
      </c>
      <c r="L105" s="6" t="inlineStr">
        <is>
          <t>50</t>
        </is>
      </c>
      <c r="M105" s="6" t="inlineStr">
        <is>
          <t>40</t>
        </is>
      </c>
      <c r="N105" s="6" t="inlineStr">
        <is>
          <t>21</t>
        </is>
      </c>
      <c r="O105" s="6" t="inlineStr">
        <is>
          <t>K-D03</t>
        </is>
      </c>
      <c r="P105" s="6" t="inlineStr">
        <is>
          <t>SOUTHFIELD</t>
        </is>
      </c>
      <c r="Q105" s="6" t="inlineStr">
        <is>
          <t>29255 NORTHWESTERN HWY STE 203, SOUTHFIELD, Michigan</t>
        </is>
      </c>
      <c r="R105" s="6" t="inlineStr">
        <is>
          <t>Rodrigo Tobar, DO (2 ortho)</t>
        </is>
      </c>
      <c r="S105" s="6" t="inlineStr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</row>
    <row r="106">
      <c r="A106" s="6" t="inlineStr">
        <is>
          <t>Pryde Athletics and Physical Therapy</t>
        </is>
      </c>
      <c r="B106" s="6" t="inlineStr">
        <is>
          <t>70091951-e0bd-42eb-9eb7-c5be5ce88649</t>
        </is>
      </c>
      <c r="C106" s="6" t="inlineStr">
        <is>
          <t>PT</t>
        </is>
      </c>
      <c r="D106" s="6" t="inlineStr">
        <is>
          <t>Tier 2</t>
        </is>
      </c>
      <c r="E106" s="6" t="inlineStr">
        <is>
          <t>Ortho Referrer</t>
        </is>
      </c>
      <c r="F106" s="6" t="n">
        <v>51</v>
      </c>
      <c r="G106" s="6" t="n">
        <v>0</v>
      </c>
      <c r="H106" s="6" t="inlineStr">
        <is>
          <t>2</t>
        </is>
      </c>
      <c r="I106" s="6" t="inlineStr">
        <is>
          <t>2</t>
        </is>
      </c>
      <c r="J106" s="6" t="inlineStr">
        <is>
          <t>2026-03-26</t>
        </is>
      </c>
      <c r="K106" s="6" t="inlineStr">
        <is>
          <t>2026-06-11</t>
        </is>
      </c>
      <c r="L106" s="6" t="inlineStr">
        <is>
          <t>35</t>
        </is>
      </c>
      <c r="M106" s="6" t="inlineStr">
        <is>
          <t>40</t>
        </is>
      </c>
      <c r="N106" s="6" t="inlineStr">
        <is>
          <t>21</t>
        </is>
      </c>
      <c r="O106" s="6" t="inlineStr">
        <is>
          <t>K-D05</t>
        </is>
      </c>
      <c r="P106" s="6" t="inlineStr">
        <is>
          <t>Canton</t>
        </is>
      </c>
      <c r="Q106" s="6" t="inlineStr">
        <is>
          <t>5624 Research Drive, Canton, Michigan, 48188</t>
        </is>
      </c>
      <c r="R106" s="6" t="inlineStr">
        <is>
          <t>Joe Pryde Athletics Martenka D, PT (1 ortho) · Amanda - Pryde Athletics Pickworth D, PT (1 ortho)</t>
        </is>
      </c>
      <c r="S106" s="6" t="inlineStr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>
      <c r="A107" s="6" t="inlineStr">
        <is>
          <t>MHP - West</t>
        </is>
      </c>
      <c r="B107" s="6" t="inlineStr">
        <is>
          <t>ad377c20-ff69-40a9-a224-4a5787ab13bb</t>
        </is>
      </c>
      <c r="C107" s="6" t="inlineStr">
        <is>
          <t>PCP</t>
        </is>
      </c>
      <c r="D107" s="6" t="inlineStr">
        <is>
          <t>Tier 2</t>
        </is>
      </c>
      <c r="E107" s="6" t="inlineStr">
        <is>
          <t>Ortho Referrer</t>
        </is>
      </c>
      <c r="F107" s="6" t="n">
        <v>51</v>
      </c>
      <c r="G107" s="6" t="n">
        <v>0</v>
      </c>
      <c r="H107" s="6" t="inlineStr">
        <is>
          <t>3</t>
        </is>
      </c>
      <c r="I107" s="6" t="inlineStr">
        <is>
          <t>3</t>
        </is>
      </c>
      <c r="J107" s="6" t="inlineStr">
        <is>
          <t>2026-05-14</t>
        </is>
      </c>
      <c r="K107" s="6" t="inlineStr">
        <is>
          <t>2026-06-05</t>
        </is>
      </c>
      <c r="L107" s="6" t="inlineStr">
        <is>
          <t>41</t>
        </is>
      </c>
      <c r="M107" s="6" t="inlineStr">
        <is>
          <t>64</t>
        </is>
      </c>
      <c r="N107" s="6" t="inlineStr">
        <is>
          <t>21</t>
        </is>
      </c>
      <c r="O107" s="6" t="inlineStr">
        <is>
          <t>K-D05</t>
        </is>
      </c>
      <c r="P107" s="6" t="inlineStr">
        <is>
          <t>Westland</t>
        </is>
      </c>
      <c r="Q107" s="6" t="inlineStr">
        <is>
          <t>6149 North Wayne Road, Westland, Michigan, 48185</t>
        </is>
      </c>
      <c r="R107" s="6" t="inlineStr">
        <is>
          <t>Stewart Baroff, DO (3 ortho)</t>
        </is>
      </c>
      <c r="S107" s="6" t="inlineStr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</row>
    <row r="108">
      <c r="A108" s="6" t="inlineStr">
        <is>
          <t>Superior Family Medicine - Health Venters Detroit -use this onea</t>
        </is>
      </c>
      <c r="B108" s="6" t="inlineStr">
        <is>
          <t>49af378b-9c15-4649-815d-958a79af2f84</t>
        </is>
      </c>
      <c r="C108" s="6" t="inlineStr">
        <is>
          <t>PCP</t>
        </is>
      </c>
      <c r="D108" s="6" t="inlineStr">
        <is>
          <t>Tier 2</t>
        </is>
      </c>
      <c r="E108" s="6" t="inlineStr">
        <is>
          <t>Ortho Referrer</t>
        </is>
      </c>
      <c r="F108" s="6" t="n">
        <v>51</v>
      </c>
      <c r="G108" s="6" t="n">
        <v>0</v>
      </c>
      <c r="H108" s="6" t="inlineStr">
        <is>
          <t>2</t>
        </is>
      </c>
      <c r="I108" s="6" t="inlineStr">
        <is>
          <t>2</t>
        </is>
      </c>
      <c r="J108" s="6" t="inlineStr">
        <is>
          <t>2026-07-09</t>
        </is>
      </c>
      <c r="K108" s="6" t="inlineStr">
        <is>
          <t>2026-05-28</t>
        </is>
      </c>
      <c r="L108" s="6" t="inlineStr">
        <is>
          <t>49</t>
        </is>
      </c>
      <c r="M108" s="6" t="inlineStr">
        <is>
          <t>41.5</t>
        </is>
      </c>
      <c r="N108" s="6" t="inlineStr">
        <is>
          <t>21</t>
        </is>
      </c>
      <c r="O108" s="6" t="inlineStr">
        <is>
          <t>K-D06</t>
        </is>
      </c>
      <c r="P108" s="6" t="inlineStr">
        <is>
          <t>Southfield</t>
        </is>
      </c>
      <c r="Q108" s="6" t="inlineStr">
        <is>
          <t>23077 Greenfield Rd suite 400, Southfield, Michigan, 48075</t>
        </is>
      </c>
      <c r="R108" s="6" t="inlineStr">
        <is>
          <t>James Haney, DO (2 ortho)</t>
        </is>
      </c>
      <c r="S108" s="6" t="inlineStr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>
      <c r="A109" s="6" t="inlineStr">
        <is>
          <t>MICHIGAN PREMIER INTERNISTS</t>
        </is>
      </c>
      <c r="B109" s="6" t="inlineStr">
        <is>
          <t>8d7b190e-e89f-4b22-b037-7042bcdd7579</t>
        </is>
      </c>
      <c r="C109" s="6" t="inlineStr">
        <is>
          <t>PCP</t>
        </is>
      </c>
      <c r="D109" s="6" t="inlineStr">
        <is>
          <t>Tier 2</t>
        </is>
      </c>
      <c r="E109" s="6" t="inlineStr">
        <is>
          <t>Ortho Referrer</t>
        </is>
      </c>
      <c r="F109" s="6" t="n">
        <v>51</v>
      </c>
      <c r="G109" s="6" t="n">
        <v>0</v>
      </c>
      <c r="H109" s="6" t="inlineStr">
        <is>
          <t>2</t>
        </is>
      </c>
      <c r="I109" s="6" t="inlineStr">
        <is>
          <t>2</t>
        </is>
      </c>
      <c r="J109" s="6" t="inlineStr">
        <is>
          <t>2026-06-10</t>
        </is>
      </c>
      <c r="K109" s="6" t="inlineStr">
        <is>
          <t>2026-05-21</t>
        </is>
      </c>
      <c r="L109" s="6" t="inlineStr">
        <is>
          <t>56</t>
        </is>
      </c>
      <c r="M109" s="6" t="inlineStr">
        <is>
          <t>27.5</t>
        </is>
      </c>
      <c r="N109" s="6" t="inlineStr">
        <is>
          <t>21</t>
        </is>
      </c>
      <c r="O109" s="6" t="inlineStr">
        <is>
          <t>K-D09</t>
        </is>
      </c>
      <c r="P109" s="6" t="inlineStr">
        <is>
          <t>ROYAL OAK</t>
        </is>
      </c>
      <c r="Q109" s="6" t="inlineStr">
        <is>
          <t>2033 CROOKS RD, ROYAL OAK, MI, 48073</t>
        </is>
      </c>
      <c r="R109" s="6" t="inlineStr">
        <is>
          <t>Helen Ostro Brown, MD (2 ortho)</t>
        </is>
      </c>
      <c r="S109" s="6" t="inlineStr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</row>
    <row r="110">
      <c r="A110" s="6" t="inlineStr">
        <is>
          <t>Corewell Urgent Care - Allen Park</t>
        </is>
      </c>
      <c r="B110" s="6" t="inlineStr">
        <is>
          <t>5090dcdb-4928-46db-ad3f-6b5e013d2d53</t>
        </is>
      </c>
      <c r="C110" s="6" t="inlineStr">
        <is>
          <t>Urgent Care</t>
        </is>
      </c>
      <c r="D110" s="6" t="inlineStr">
        <is>
          <t>Tier 2</t>
        </is>
      </c>
      <c r="E110" s="6" t="inlineStr">
        <is>
          <t>Ortho Referrer</t>
        </is>
      </c>
      <c r="F110" s="6" t="n">
        <v>51</v>
      </c>
      <c r="G110" s="6" t="n">
        <v>0</v>
      </c>
      <c r="H110" s="6" t="inlineStr">
        <is>
          <t>2</t>
        </is>
      </c>
      <c r="I110" s="6" t="inlineStr">
        <is>
          <t>2</t>
        </is>
      </c>
      <c r="J110" s="6" t="inlineStr">
        <is>
          <t>2026-05-26</t>
        </is>
      </c>
      <c r="K110" s="6" t="inlineStr">
        <is>
          <t>2026-05-01</t>
        </is>
      </c>
      <c r="L110" s="6" t="inlineStr">
        <is>
          <t>76</t>
        </is>
      </c>
      <c r="M110" s="6" t="inlineStr">
        <is>
          <t>54.5</t>
        </is>
      </c>
      <c r="N110" s="6" t="inlineStr">
        <is>
          <t>21</t>
        </is>
      </c>
      <c r="O110" s="6" t="inlineStr">
        <is>
          <t>K-D12</t>
        </is>
      </c>
      <c r="P110" s="6" t="inlineStr">
        <is>
          <t>Allen Park</t>
        </is>
      </c>
      <c r="Q110" s="6" t="inlineStr">
        <is>
          <t>5606 Southfield Road, Allen Park, Michigan, 48101</t>
        </is>
      </c>
      <c r="R110" s="6" t="inlineStr">
        <is>
          <t>Corewell Uc Allen Park (1 ortho) · Corewell Urgent Care Allen Park (1 ortho)</t>
        </is>
      </c>
      <c r="S110" s="6" t="inlineStr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>
      <c r="A111" s="6" t="inlineStr">
        <is>
          <t>Corewell Health Urgent Care - Garden City</t>
        </is>
      </c>
      <c r="B111" s="6" t="inlineStr">
        <is>
          <t>7db80555-4d31-47b0-904c-cd43fb08b2ee</t>
        </is>
      </c>
      <c r="C111" s="6" t="inlineStr">
        <is>
          <t>Urgent Care</t>
        </is>
      </c>
      <c r="D111" s="6" t="inlineStr">
        <is>
          <t>Tier 2</t>
        </is>
      </c>
      <c r="E111" s="6" t="inlineStr">
        <is>
          <t>Ortho Referrer</t>
        </is>
      </c>
      <c r="F111" s="6" t="n">
        <v>51</v>
      </c>
      <c r="G111" s="6" t="n">
        <v>0</v>
      </c>
      <c r="H111" s="6" t="inlineStr">
        <is>
          <t>2</t>
        </is>
      </c>
      <c r="I111" s="6" t="inlineStr">
        <is>
          <t>3</t>
        </is>
      </c>
      <c r="J111" s="6" t="inlineStr">
        <is>
          <t>2026-06-22</t>
        </is>
      </c>
      <c r="K111" s="6" t="inlineStr">
        <is>
          <t>2026-06-05</t>
        </is>
      </c>
      <c r="L111" s="6" t="inlineStr">
        <is>
          <t>41</t>
        </is>
      </c>
      <c r="M111" s="6" t="inlineStr">
        <is>
          <t>17</t>
        </is>
      </c>
      <c r="N111" s="6" t="inlineStr">
        <is>
          <t>21</t>
        </is>
      </c>
      <c r="O111" s="6" t="inlineStr">
        <is>
          <t>K-D12</t>
        </is>
      </c>
      <c r="P111" s="6" t="inlineStr">
        <is>
          <t>Garden City</t>
        </is>
      </c>
      <c r="Q111" s="6" t="inlineStr">
        <is>
          <t>6200 Middlebelt Road, Garden City, Michigan, 48135</t>
        </is>
      </c>
      <c r="R111" s="6" t="inlineStr">
        <is>
          <t>Corewell Urgent Care Garden City (1 ortho) · Corewell UC Garden City (1 ortho)</t>
        </is>
      </c>
      <c r="S111" s="6" t="inlineStr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</row>
    <row r="112">
      <c r="A112" s="6" t="inlineStr">
        <is>
          <t>BEAUMONT FAMILY MEDICINE WESTLAND</t>
        </is>
      </c>
      <c r="B112" s="6" t="inlineStr">
        <is>
          <t>45376ca8-4cd3-43e5-945d-5f6309bac752</t>
        </is>
      </c>
      <c r="C112" s="6" t="inlineStr">
        <is>
          <t>PCP</t>
        </is>
      </c>
      <c r="D112" s="6" t="inlineStr">
        <is>
          <t>Tier 2</t>
        </is>
      </c>
      <c r="E112" s="6" t="inlineStr">
        <is>
          <t>Ortho Referrer</t>
        </is>
      </c>
      <c r="F112" s="6" t="n">
        <v>51</v>
      </c>
      <c r="G112" s="6" t="n">
        <v>0</v>
      </c>
      <c r="H112" s="6" t="inlineStr">
        <is>
          <t>3</t>
        </is>
      </c>
      <c r="I112" s="6" t="inlineStr">
        <is>
          <t>3</t>
        </is>
      </c>
      <c r="J112" s="6" t="inlineStr">
        <is>
          <t>2026-07-10</t>
        </is>
      </c>
      <c r="K112" s="6" t="inlineStr">
        <is>
          <t>2026-06-05</t>
        </is>
      </c>
      <c r="L112" s="6" t="inlineStr">
        <is>
          <t>41</t>
        </is>
      </c>
      <c r="M112" s="6" t="inlineStr">
        <is>
          <t>35</t>
        </is>
      </c>
      <c r="N112" s="6" t="inlineStr">
        <is>
          <t>21</t>
        </is>
      </c>
      <c r="O112" s="6" t="inlineStr">
        <is>
          <t>K-D12</t>
        </is>
      </c>
      <c r="P112" s="6" t="inlineStr">
        <is>
          <t>WESTLAND</t>
        </is>
      </c>
      <c r="Q112" s="6" t="inlineStr">
        <is>
          <t>2001 S MERRIMAN RD STE 100, WESTLAND, Michigan</t>
        </is>
      </c>
      <c r="R112" s="6" t="inlineStr">
        <is>
          <t>Tyler Drewry, MD (2 ortho) · Elizabeth Ann Lewan, DO (1 ortho)</t>
        </is>
      </c>
      <c r="S112" s="6" t="inlineStr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>
      <c r="A113" s="6" t="inlineStr">
        <is>
          <t>Haller and Hug Internal Medicine</t>
        </is>
      </c>
      <c r="B113" s="6" t="inlineStr">
        <is>
          <t>9019b0af-745f-41ea-a4ab-4e72321359d9</t>
        </is>
      </c>
      <c r="C113" s="6" t="inlineStr">
        <is>
          <t>PCP</t>
        </is>
      </c>
      <c r="D113" s="6" t="inlineStr">
        <is>
          <t>Tier 2</t>
        </is>
      </c>
      <c r="E113" s="6" t="inlineStr">
        <is>
          <t>Ortho Referrer</t>
        </is>
      </c>
      <c r="F113" s="6" t="n">
        <v>51</v>
      </c>
      <c r="G113" s="6" t="n">
        <v>0</v>
      </c>
      <c r="H113" s="6" t="inlineStr">
        <is>
          <t>2</t>
        </is>
      </c>
      <c r="I113" s="6" t="inlineStr">
        <is>
          <t>12</t>
        </is>
      </c>
      <c r="J113" s="6" t="inlineStr">
        <is>
          <t>2026-07-09</t>
        </is>
      </c>
      <c r="K113" s="6" t="inlineStr">
        <is>
          <t>2026-05-11</t>
        </is>
      </c>
      <c r="L113" s="6" t="inlineStr">
        <is>
          <t>66</t>
        </is>
      </c>
      <c r="M113" s="6" t="inlineStr">
        <is>
          <t>57</t>
        </is>
      </c>
      <c r="N113" s="6" t="inlineStr">
        <is>
          <t>21</t>
        </is>
      </c>
      <c r="O113" s="6" t="inlineStr">
        <is>
          <t>K-D14</t>
        </is>
      </c>
      <c r="P113" s="6" t="inlineStr">
        <is>
          <t>Farmington Hills</t>
        </is>
      </c>
      <c r="Q113" s="6" t="inlineStr">
        <is>
          <t>27555 Farmington Rd suite 120, Farmington Hills, Michigan, 48334</t>
        </is>
      </c>
      <c r="R113" s="6" t="inlineStr">
        <is>
          <t>Heather Molnar, MD (2 ortho) · Jeffrey Haller, MD</t>
        </is>
      </c>
      <c r="S113" s="6" t="inlineStr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</row>
    <row r="114">
      <c r="A114" s="6" t="inlineStr">
        <is>
          <t>ASCENSION MEDICAL GROUP PROVIDENCE FAMILY AND ATHLETIC MEDICINE</t>
        </is>
      </c>
      <c r="B114" s="6" t="inlineStr">
        <is>
          <t>2a800701-496e-4bcf-b305-aa1a21a3c7ef</t>
        </is>
      </c>
      <c r="C114" s="6" t="inlineStr">
        <is>
          <t>PCP</t>
        </is>
      </c>
      <c r="D114" s="6" t="inlineStr">
        <is>
          <t>Tier 2</t>
        </is>
      </c>
      <c r="E114" s="6" t="inlineStr">
        <is>
          <t>Ortho Referrer</t>
        </is>
      </c>
      <c r="F114" s="6" t="n">
        <v>51</v>
      </c>
      <c r="G114" s="6" t="n">
        <v>0</v>
      </c>
      <c r="H114" s="6" t="inlineStr">
        <is>
          <t>2</t>
        </is>
      </c>
      <c r="I114" s="6" t="inlineStr">
        <is>
          <t>3</t>
        </is>
      </c>
      <c r="J114" s="6" t="inlineStr">
        <is>
          <t>2026-06-24</t>
        </is>
      </c>
      <c r="K114" s="6" t="inlineStr">
        <is>
          <t>2026-06-01</t>
        </is>
      </c>
      <c r="L114" s="6" t="inlineStr">
        <is>
          <t>45</t>
        </is>
      </c>
      <c r="M114" s="6" t="inlineStr">
        <is>
          <t>23</t>
        </is>
      </c>
      <c r="N114" s="6" t="inlineStr">
        <is>
          <t>21</t>
        </is>
      </c>
      <c r="O114" s="6" t="inlineStr">
        <is>
          <t>K-D14</t>
        </is>
      </c>
      <c r="P114" s="6" t="inlineStr">
        <is>
          <t>NOVI</t>
        </is>
      </c>
      <c r="Q114" s="6" t="inlineStr">
        <is>
          <t>26750 PROVIDENCE PKWY STE 210, NOVI, MI, 48374</t>
        </is>
      </c>
      <c r="R114" s="6" t="inlineStr">
        <is>
          <t>Paolo Nino Balmaseda (1 ortho) · Gregory Cibor, DO (1 ortho) · David Peck, MD</t>
        </is>
      </c>
      <c r="S114" s="6" t="inlineStr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>
      <c r="A115" s="6" t="inlineStr">
        <is>
          <t>Ivy Rehab - Novi</t>
        </is>
      </c>
      <c r="B115" s="6" t="inlineStr">
        <is>
          <t>df60078e-201f-47fc-b9e3-dea78ab7c916</t>
        </is>
      </c>
      <c r="C115" s="6" t="inlineStr">
        <is>
          <t>PT</t>
        </is>
      </c>
      <c r="D115" s="6" t="inlineStr">
        <is>
          <t>Tier 2</t>
        </is>
      </c>
      <c r="E115" s="6" t="inlineStr">
        <is>
          <t>Ortho Referrer</t>
        </is>
      </c>
      <c r="F115" s="6" t="n">
        <v>51</v>
      </c>
      <c r="G115" s="6" t="n">
        <v>0</v>
      </c>
      <c r="H115" s="6" t="inlineStr">
        <is>
          <t>2</t>
        </is>
      </c>
      <c r="I115" s="6" t="inlineStr">
        <is>
          <t>2</t>
        </is>
      </c>
      <c r="J115" s="6" t="inlineStr">
        <is>
          <t>2026-07-10</t>
        </is>
      </c>
      <c r="K115" s="6" t="inlineStr">
        <is>
          <t>2026-06-01</t>
        </is>
      </c>
      <c r="L115" s="6" t="inlineStr">
        <is>
          <t>45</t>
        </is>
      </c>
      <c r="M115" s="6" t="inlineStr">
        <is>
          <t>25</t>
        </is>
      </c>
      <c r="N115" s="6" t="inlineStr">
        <is>
          <t>21</t>
        </is>
      </c>
      <c r="O115" s="6" t="inlineStr">
        <is>
          <t>K-D14</t>
        </is>
      </c>
      <c r="P115" s="6" t="inlineStr">
        <is>
          <t>Novi</t>
        </is>
      </c>
      <c r="Q115" s="6" t="inlineStr">
        <is>
          <t>43440 W Oaks Dr, Novi, Michigan, 48377</t>
        </is>
      </c>
      <c r="R115" s="6" t="inlineStr">
        <is>
          <t>Emily Jesser D, PT (2 ortho)</t>
        </is>
      </c>
      <c r="S115" s="6" t="inlineStr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</row>
    <row r="116">
      <c r="A116" s="6" t="inlineStr">
        <is>
          <t>Physician HealthCare Network</t>
        </is>
      </c>
      <c r="B116" s="6" t="inlineStr">
        <is>
          <t>1134195258</t>
        </is>
      </c>
      <c r="C116" s="6" t="inlineStr">
        <is>
          <t>PCP</t>
        </is>
      </c>
      <c r="D116" s="6" t="inlineStr">
        <is>
          <t>Tier 2</t>
        </is>
      </c>
      <c r="E116" s="6" t="inlineStr">
        <is>
          <t>Ortho Referrer</t>
        </is>
      </c>
      <c r="F116" s="6" t="n">
        <v>51</v>
      </c>
      <c r="G116" s="6" t="n">
        <v>0</v>
      </c>
      <c r="H116" s="6" t="inlineStr">
        <is>
          <t>2</t>
        </is>
      </c>
      <c r="I116" s="6" t="inlineStr">
        <is>
          <t>2</t>
        </is>
      </c>
      <c r="J116" s="6" t="inlineStr">
        <is>
          <t>2026-04-21</t>
        </is>
      </c>
      <c r="K116" s="6" t="inlineStr">
        <is>
          <t>2026-06-09</t>
        </is>
      </c>
      <c r="L116" s="6" t="inlineStr">
        <is>
          <t>37</t>
        </is>
      </c>
      <c r="M116" s="6" t="inlineStr">
        <is>
          <t>41</t>
        </is>
      </c>
      <c r="N116" s="6" t="inlineStr">
        <is>
          <t>21</t>
        </is>
      </c>
      <c r="O116" s="6" t="inlineStr">
        <is>
          <t>K-D15</t>
        </is>
      </c>
      <c r="P116" s="6" t="inlineStr">
        <is>
          <t>Lenox</t>
        </is>
      </c>
      <c r="Q116" s="6" t="inlineStr">
        <is>
          <t>36267 26 Mile Road, Suite 3, Lenox, MI, 48048</t>
        </is>
      </c>
      <c r="R116" s="6" t="inlineStr">
        <is>
          <t>Pietro Cavataio, MD (1 ortho) · Antonio Colombo (1 ortho)</t>
        </is>
      </c>
      <c r="S116" s="6" t="inlineStr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>
      <c r="A117" s="6" t="inlineStr">
        <is>
          <t>Blue Water Internal Medicine PC</t>
        </is>
      </c>
      <c r="B117" s="6" t="inlineStr">
        <is>
          <t>a086480a-231f-4bcb-9889-891475aa37b8</t>
        </is>
      </c>
      <c r="C117" s="6" t="inlineStr">
        <is>
          <t>PCP</t>
        </is>
      </c>
      <c r="D117" s="6" t="inlineStr">
        <is>
          <t>Tier 2</t>
        </is>
      </c>
      <c r="E117" s="6" t="inlineStr">
        <is>
          <t>Ortho Referrer</t>
        </is>
      </c>
      <c r="F117" s="6" t="n">
        <v>51</v>
      </c>
      <c r="G117" s="6" t="n">
        <v>0</v>
      </c>
      <c r="H117" s="6" t="inlineStr">
        <is>
          <t>2</t>
        </is>
      </c>
      <c r="I117" s="6" t="inlineStr">
        <is>
          <t>2</t>
        </is>
      </c>
      <c r="J117" s="6" t="inlineStr">
        <is>
          <t>2026-03-03</t>
        </is>
      </c>
      <c r="K117" s="6" t="inlineStr">
        <is>
          <t>2026-06-16</t>
        </is>
      </c>
      <c r="L117" s="6" t="inlineStr">
        <is>
          <t>30</t>
        </is>
      </c>
      <c r="M117" s="6" t="inlineStr">
        <is>
          <t>19.5</t>
        </is>
      </c>
      <c r="N117" s="6" t="inlineStr">
        <is>
          <t>21</t>
        </is>
      </c>
      <c r="O117" s="6" t="inlineStr">
        <is>
          <t>K-D16</t>
        </is>
      </c>
      <c r="P117" s="6" t="inlineStr">
        <is>
          <t>Port Huron</t>
        </is>
      </c>
      <c r="Q117" s="6" t="inlineStr">
        <is>
          <t>1210 10th Avenue, Port Huron, Michigan, 48060</t>
        </is>
      </c>
      <c r="R117" s="6" t="inlineStr">
        <is>
          <t>Emad Daher, MD (2 ortho)</t>
        </is>
      </c>
      <c r="S117" s="6" t="inlineStr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</row>
    <row r="118">
      <c r="A118" s="6" t="inlineStr">
        <is>
          <t>Physician HeathCare Network - Michele Raymond DO</t>
        </is>
      </c>
      <c r="B118" s="6" t="inlineStr">
        <is>
          <t>6904e522-5104-4c29-ae02-e787473b0edf</t>
        </is>
      </c>
      <c r="C118" s="6" t="inlineStr">
        <is>
          <t>PCP</t>
        </is>
      </c>
      <c r="D118" s="6" t="inlineStr">
        <is>
          <t>Tier 2</t>
        </is>
      </c>
      <c r="E118" s="6" t="inlineStr">
        <is>
          <t>Ortho Referrer</t>
        </is>
      </c>
      <c r="F118" s="6" t="n">
        <v>51</v>
      </c>
      <c r="G118" s="6" t="n">
        <v>0</v>
      </c>
      <c r="H118" s="6" t="inlineStr">
        <is>
          <t>3</t>
        </is>
      </c>
      <c r="I118" s="6" t="inlineStr">
        <is>
          <t>3</t>
        </is>
      </c>
      <c r="J118" s="6" t="inlineStr">
        <is>
          <t>2026-04-16</t>
        </is>
      </c>
      <c r="K118" s="6" t="inlineStr">
        <is>
          <t>2026-06-16</t>
        </is>
      </c>
      <c r="L118" s="6" t="inlineStr">
        <is>
          <t>30</t>
        </is>
      </c>
      <c r="M118" s="6" t="inlineStr">
        <is>
          <t>21</t>
        </is>
      </c>
      <c r="N118" s="6" t="inlineStr">
        <is>
          <t>21</t>
        </is>
      </c>
      <c r="O118" s="6" t="inlineStr">
        <is>
          <t>K-D16</t>
        </is>
      </c>
      <c r="P118" s="6" t="inlineStr">
        <is>
          <t>Port Huron</t>
        </is>
      </c>
      <c r="Q118" s="6" t="inlineStr">
        <is>
          <t>2425 Military St building 2, Port Huron, Michigan, 48060</t>
        </is>
      </c>
      <c r="R118" s="6" t="inlineStr">
        <is>
          <t>Danielle Sabala, NP (2 ortho) · Michele L Raymond, DO (1 ortho)</t>
        </is>
      </c>
      <c r="S118" s="6" t="inlineStr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>
      <c r="A119" s="6" t="inlineStr">
        <is>
          <t>Hamtramck Community Medical Center</t>
        </is>
      </c>
      <c r="B119" s="6" t="inlineStr">
        <is>
          <t>a05c84d7-ae44-4f75-a80e-972ce19c5477</t>
        </is>
      </c>
      <c r="C119" s="6" t="inlineStr">
        <is>
          <t>PCP</t>
        </is>
      </c>
      <c r="D119" s="6" t="inlineStr">
        <is>
          <t>Tier 2</t>
        </is>
      </c>
      <c r="E119" s="6" t="inlineStr">
        <is>
          <t>Ortho Referrer</t>
        </is>
      </c>
      <c r="F119" s="6" t="n">
        <v>51</v>
      </c>
      <c r="G119" s="6" t="n">
        <v>0</v>
      </c>
      <c r="H119" s="6" t="inlineStr">
        <is>
          <t>2</t>
        </is>
      </c>
      <c r="I119" s="6" t="inlineStr">
        <is>
          <t>3</t>
        </is>
      </c>
      <c r="J119" s="6" t="inlineStr">
        <is>
          <t>2026-04-09</t>
        </is>
      </c>
      <c r="K119" s="6" t="inlineStr">
        <is>
          <t>2026-05-19</t>
        </is>
      </c>
      <c r="L119" s="6" t="inlineStr">
        <is>
          <t>58</t>
        </is>
      </c>
      <c r="M119" s="6" t="inlineStr">
        <is>
          <t>34</t>
        </is>
      </c>
      <c r="N119" s="6" t="inlineStr">
        <is>
          <t>21</t>
        </is>
      </c>
      <c r="O119" s="6" t="inlineStr">
        <is>
          <t>K-D17</t>
        </is>
      </c>
      <c r="P119" s="6" t="inlineStr">
        <is>
          <t>Hamtramck</t>
        </is>
      </c>
      <c r="Q119" s="6" t="inlineStr">
        <is>
          <t>9740 Conant, Hamtramck, Michigan, 48212</t>
        </is>
      </c>
      <c r="R119" s="6" t="inlineStr">
        <is>
          <t>Redwan Uddin, MD (2 ortho)</t>
        </is>
      </c>
      <c r="S119" s="6" t="inlineStr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</row>
    <row r="120">
      <c r="A120" s="6" t="inlineStr">
        <is>
          <t>Wadhams Family Care</t>
        </is>
      </c>
      <c r="B120" s="6" t="inlineStr">
        <is>
          <t>16b28f94-4956-4a84-8936-0ae7dbe24994</t>
        </is>
      </c>
      <c r="C120" s="6" t="inlineStr">
        <is>
          <t>PCP</t>
        </is>
      </c>
      <c r="D120" s="6" t="inlineStr">
        <is>
          <t>Tier 2</t>
        </is>
      </c>
      <c r="E120" s="6" t="inlineStr">
        <is>
          <t>Ortho Referrer</t>
        </is>
      </c>
      <c r="F120" s="6" t="n">
        <v>51</v>
      </c>
      <c r="G120" s="6" t="n">
        <v>0</v>
      </c>
      <c r="H120" s="6" t="inlineStr">
        <is>
          <t>2</t>
        </is>
      </c>
      <c r="I120" s="6" t="inlineStr">
        <is>
          <t>2</t>
        </is>
      </c>
      <c r="J120" s="6" t="inlineStr">
        <is>
          <t>2026-05-28</t>
        </is>
      </c>
      <c r="K120" s="6" t="inlineStr">
        <is>
          <t>2026-05-05</t>
        </is>
      </c>
      <c r="L120" s="6" t="inlineStr">
        <is>
          <t>72</t>
        </is>
      </c>
      <c r="M120" s="6" t="inlineStr">
        <is>
          <t>29</t>
        </is>
      </c>
      <c r="N120" s="6" t="inlineStr">
        <is>
          <t>21</t>
        </is>
      </c>
      <c r="O120" s="6" t="inlineStr">
        <is>
          <t>K-D18</t>
        </is>
      </c>
      <c r="P120" s="6" t="inlineStr">
        <is>
          <t>Kimball</t>
        </is>
      </c>
      <c r="Q120" s="6" t="inlineStr">
        <is>
          <t>5312 Lapeer Rd, Kimball, Michigan, 48074</t>
        </is>
      </c>
      <c r="R120" s="6" t="inlineStr">
        <is>
          <t>Gary James, DO (2 ortho)</t>
        </is>
      </c>
      <c r="S120" s="6" t="inlineStr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>
      <c r="A121" s="6" t="inlineStr">
        <is>
          <t>Marko Law</t>
        </is>
      </c>
      <c r="B121" s="6" t="inlineStr">
        <is>
          <t>7adfcce2-7d98-4f4d-aaa5-95eb30889397</t>
        </is>
      </c>
      <c r="C121" s="6" t="inlineStr">
        <is>
          <t>Attorney / Legal</t>
        </is>
      </c>
      <c r="D121" s="6" t="inlineStr">
        <is>
          <t>Tier 2</t>
        </is>
      </c>
      <c r="E121" s="6" t="inlineStr">
        <is>
          <t>Ortho Referrer</t>
        </is>
      </c>
      <c r="F121" s="6" t="n">
        <v>49</v>
      </c>
      <c r="G121" s="6" t="n">
        <v>0</v>
      </c>
      <c r="H121" s="6" t="inlineStr">
        <is>
          <t>2</t>
        </is>
      </c>
      <c r="I121" s="6" t="inlineStr">
        <is>
          <t>2</t>
        </is>
      </c>
      <c r="J121" s="6" t="inlineStr">
        <is>
          <t>2026-05-21</t>
        </is>
      </c>
      <c r="K121" s="6" t="inlineStr">
        <is>
          <t>2026-03-26</t>
        </is>
      </c>
      <c r="L121" s="6" t="inlineStr">
        <is>
          <t>112</t>
        </is>
      </c>
      <c r="M121" s="6" t="inlineStr">
        <is>
          <t>53</t>
        </is>
      </c>
      <c r="N121" s="6" t="inlineStr">
        <is>
          <t>21</t>
        </is>
      </c>
      <c r="O121" s="6" t="inlineStr">
        <is>
          <t>K-D17</t>
        </is>
      </c>
      <c r="P121" s="6" t="inlineStr">
        <is>
          <t>Detroit</t>
        </is>
      </c>
      <c r="Q121" s="6" t="inlineStr">
        <is>
          <t>220 W Congress St, Detroit, Michigan, 48226</t>
        </is>
      </c>
      <c r="R121" s="6" t="inlineStr">
        <is>
          <t>Marko Law (2 ortho)</t>
        </is>
      </c>
      <c r="S121" s="6" t="inlineStr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</row>
    <row r="122">
      <c r="A122" s="6" t="inlineStr">
        <is>
          <t>Village Medical Wayne</t>
        </is>
      </c>
      <c r="B122" s="6" t="inlineStr">
        <is>
          <t>7e594070-5f19-4b0e-982f-f339ee92109c</t>
        </is>
      </c>
      <c r="C122" s="6" t="inlineStr">
        <is>
          <t>PCP</t>
        </is>
      </c>
      <c r="D122" s="6" t="inlineStr">
        <is>
          <t>Tier 2</t>
        </is>
      </c>
      <c r="E122" s="6" t="inlineStr">
        <is>
          <t>Ortho Referrer</t>
        </is>
      </c>
      <c r="F122" s="6" t="n">
        <v>48</v>
      </c>
      <c r="G122" s="6" t="n">
        <v>0</v>
      </c>
      <c r="H122" s="6" t="inlineStr">
        <is>
          <t>1</t>
        </is>
      </c>
      <c r="I122" s="6" t="inlineStr">
        <is>
          <t>2</t>
        </is>
      </c>
      <c r="J122" s="6" t="inlineStr">
        <is>
          <t>2026-03-30</t>
        </is>
      </c>
      <c r="K122" s="6" t="inlineStr">
        <is>
          <t>2026-07-06</t>
        </is>
      </c>
      <c r="L122" s="6" t="inlineStr">
        <is>
          <t>10</t>
        </is>
      </c>
      <c r="M122" s="6" t="inlineStr">
        <is>
          <t>25.5</t>
        </is>
      </c>
      <c r="N122" s="6" t="inlineStr">
        <is>
          <t>21</t>
        </is>
      </c>
      <c r="O122" s="6" t="inlineStr">
        <is>
          <t>K-D05</t>
        </is>
      </c>
      <c r="P122" s="6" t="inlineStr">
        <is>
          <t>Westland</t>
        </is>
      </c>
      <c r="Q122" s="6" t="inlineStr">
        <is>
          <t>400 N Wayne Rd, Westland, Michigan, 48185</t>
        </is>
      </c>
      <c r="R122" s="6" t="inlineStr">
        <is>
          <t>Robert Coleman Brock, DO (1 ortho)</t>
        </is>
      </c>
      <c r="S122" s="6" t="inlineStr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>
      <c r="A123" s="6" t="inlineStr">
        <is>
          <t>Beverly Hills Internal Medicine</t>
        </is>
      </c>
      <c r="B123" s="6" t="inlineStr">
        <is>
          <t>04-330-7414</t>
        </is>
      </c>
      <c r="C123" s="6" t="inlineStr">
        <is>
          <t>PCP</t>
        </is>
      </c>
      <c r="D123" s="6" t="inlineStr">
        <is>
          <t>Tier 2</t>
        </is>
      </c>
      <c r="E123" s="6" t="inlineStr">
        <is>
          <t>Ortho Referrer</t>
        </is>
      </c>
      <c r="F123" s="6" t="n">
        <v>48</v>
      </c>
      <c r="G123" s="6" t="n">
        <v>0</v>
      </c>
      <c r="H123" s="6" t="inlineStr">
        <is>
          <t>1</t>
        </is>
      </c>
      <c r="I123" s="6" t="inlineStr">
        <is>
          <t>1</t>
        </is>
      </c>
      <c r="J123" s="6" t="inlineStr">
        <is>
          <t>2026-02-24</t>
        </is>
      </c>
      <c r="K123" s="6" t="inlineStr">
        <is>
          <t>2026-07-08</t>
        </is>
      </c>
      <c r="L123" s="6" t="inlineStr">
        <is>
          <t>8</t>
        </is>
      </c>
      <c r="M123" s="6" t="inlineStr">
        <is>
          <t>25</t>
        </is>
      </c>
      <c r="N123" s="6" t="inlineStr">
        <is>
          <t>21</t>
        </is>
      </c>
      <c r="O123" s="6" t="inlineStr">
        <is>
          <t>K-D09</t>
        </is>
      </c>
      <c r="P123" s="6" t="inlineStr">
        <is>
          <t>Beverly Hills</t>
        </is>
      </c>
      <c r="Q123" s="6" t="inlineStr">
        <is>
          <t>17392 W 13 Mile Rd, Beverly Hills, MI, 48025-5438</t>
        </is>
      </c>
      <c r="R123" s="6" t="inlineStr">
        <is>
          <t>Nidhi Shishu, MD (1 ortho)</t>
        </is>
      </c>
      <c r="S123" s="6" t="inlineStr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</row>
    <row r="124">
      <c r="A124" s="6" t="inlineStr">
        <is>
          <t>METROPOLITAN MEDICAL ASSOCIATES</t>
        </is>
      </c>
      <c r="B124" s="6" t="inlineStr">
        <is>
          <t>297c1d83-ce5b-4ce5-b393-97b656f9b2c7</t>
        </is>
      </c>
      <c r="C124" s="6" t="inlineStr">
        <is>
          <t>PCP</t>
        </is>
      </c>
      <c r="D124" s="6" t="inlineStr">
        <is>
          <t>Tier 2</t>
        </is>
      </c>
      <c r="E124" s="6" t="inlineStr">
        <is>
          <t>Ortho Referrer</t>
        </is>
      </c>
      <c r="F124" s="6" t="n">
        <v>48</v>
      </c>
      <c r="G124" s="6" t="n">
        <v>0</v>
      </c>
      <c r="H124" s="6" t="inlineStr">
        <is>
          <t>1</t>
        </is>
      </c>
      <c r="I124" s="6" t="inlineStr">
        <is>
          <t>1</t>
        </is>
      </c>
      <c r="J124" s="6" t="inlineStr">
        <is>
          <t>2026-06-03</t>
        </is>
      </c>
      <c r="K124" s="6" t="inlineStr">
        <is>
          <t>2026-07-13</t>
        </is>
      </c>
      <c r="L124" s="6" t="inlineStr">
        <is>
          <t>3</t>
        </is>
      </c>
      <c r="M124" s="6" t="inlineStr">
        <is>
          <t>34</t>
        </is>
      </c>
      <c r="N124" s="6" t="inlineStr">
        <is>
          <t>21</t>
        </is>
      </c>
      <c r="O124" s="6" t="inlineStr">
        <is>
          <t>K-D13</t>
        </is>
      </c>
      <c r="P124" s="6" t="inlineStr">
        <is>
          <t>WARREN</t>
        </is>
      </c>
      <c r="Q124" s="6" t="inlineStr">
        <is>
          <t>28111 HOOVER RD STE 2A, WARREN, MI, 48093</t>
        </is>
      </c>
      <c r="R124" s="6" t="inlineStr">
        <is>
          <t>Archi Trivedi, MD (1 ortho)</t>
        </is>
      </c>
      <c r="S124" s="6" t="inlineStr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>
      <c r="A125" s="6" t="inlineStr">
        <is>
          <t>GROSSE POINTE PARK INTERNAL MEDICINE CENTER</t>
        </is>
      </c>
      <c r="B125" s="6" t="inlineStr">
        <is>
          <t>4182fa5f-6d87-4037-9102-1014f5d60056</t>
        </is>
      </c>
      <c r="C125" s="6" t="inlineStr">
        <is>
          <t>PCP</t>
        </is>
      </c>
      <c r="D125" s="6" t="inlineStr">
        <is>
          <t>Tier 2</t>
        </is>
      </c>
      <c r="E125" s="6" t="inlineStr">
        <is>
          <t>Ortho Referrer</t>
        </is>
      </c>
      <c r="F125" s="6" t="n">
        <v>48</v>
      </c>
      <c r="G125" s="6" t="n">
        <v>0</v>
      </c>
      <c r="H125" s="6" t="inlineStr">
        <is>
          <t>1</t>
        </is>
      </c>
      <c r="I125" s="6" t="inlineStr">
        <is>
          <t>1</t>
        </is>
      </c>
      <c r="J125" s="6" t="inlineStr">
        <is>
          <t>2026-06-02</t>
        </is>
      </c>
      <c r="K125" s="6" t="inlineStr">
        <is>
          <t>2026-07-07</t>
        </is>
      </c>
      <c r="L125" s="6" t="inlineStr">
        <is>
          <t>9</t>
        </is>
      </c>
      <c r="M125" s="6" t="inlineStr">
        <is>
          <t>35</t>
        </is>
      </c>
      <c r="N125" s="6" t="inlineStr">
        <is>
          <t>21</t>
        </is>
      </c>
      <c r="O125" s="6" t="inlineStr">
        <is>
          <t>K-D17</t>
        </is>
      </c>
      <c r="P125" s="6" t="inlineStr">
        <is>
          <t>GROSSE POINTE</t>
        </is>
      </c>
      <c r="Q125" s="6" t="inlineStr">
        <is>
          <t>15200 KERCHEVAL AVE, GROSSE POINTE, MI, 48230</t>
        </is>
      </c>
      <c r="R125" s="6" t="inlineStr">
        <is>
          <t>Michael Francis, DO (1 ortho)</t>
        </is>
      </c>
      <c r="S125" s="6" t="inlineStr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</row>
    <row r="126">
      <c r="A126" s="6" t="inlineStr">
        <is>
          <t>Blue Water Urgent Care - Port Huron</t>
        </is>
      </c>
      <c r="B126" s="6" t="inlineStr">
        <is>
          <t>97837698-b314-4e35-a9af-a63d6305dc5b</t>
        </is>
      </c>
      <c r="C126" s="6" t="inlineStr">
        <is>
          <t>Urgent Care</t>
        </is>
      </c>
      <c r="D126" s="6" t="inlineStr">
        <is>
          <t>Tier 2</t>
        </is>
      </c>
      <c r="E126" s="6" t="inlineStr">
        <is>
          <t>Ortho Referrer</t>
        </is>
      </c>
      <c r="F126" s="6" t="n">
        <v>48</v>
      </c>
      <c r="G126" s="6" t="n">
        <v>0</v>
      </c>
      <c r="H126" s="6" t="inlineStr">
        <is>
          <t>1</t>
        </is>
      </c>
      <c r="I126" s="6" t="inlineStr">
        <is>
          <t>1</t>
        </is>
      </c>
      <c r="J126" s="6" t="inlineStr">
        <is>
          <t>2026-03-19</t>
        </is>
      </c>
      <c r="K126" s="6" t="inlineStr">
        <is>
          <t>2026-06-25</t>
        </is>
      </c>
      <c r="L126" s="6" t="inlineStr">
        <is>
          <t>21</t>
        </is>
      </c>
      <c r="M126" s="6" t="inlineStr">
        <is>
          <t>42</t>
        </is>
      </c>
      <c r="N126" s="6" t="inlineStr">
        <is>
          <t>21</t>
        </is>
      </c>
      <c r="O126" s="6" t="inlineStr">
        <is>
          <t>K-D18</t>
        </is>
      </c>
      <c r="P126" s="6" t="inlineStr">
        <is>
          <t>Port Huron</t>
        </is>
      </c>
      <c r="Q126" s="6" t="inlineStr">
        <is>
          <t>1612 10th Avenue, Port Huron, Michigan, 48060</t>
        </is>
      </c>
      <c r="R126" s="6" t="inlineStr">
        <is>
          <t>Blue Water Urgent Care Port Huron (1 ortho)</t>
        </is>
      </c>
      <c r="S126" s="6" t="inlineStr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>
      <c r="A127" s="6" t="inlineStr">
        <is>
          <t>Plumbrook Medical Center</t>
        </is>
      </c>
      <c r="B127" s="6" t="inlineStr">
        <is>
          <t>1013009901</t>
        </is>
      </c>
      <c r="C127" s="6" t="inlineStr">
        <is>
          <t>PCP</t>
        </is>
      </c>
      <c r="D127" s="6" t="inlineStr">
        <is>
          <t>Tier 2</t>
        </is>
      </c>
      <c r="E127" s="6" t="inlineStr">
        <is>
          <t>Ortho Referrer</t>
        </is>
      </c>
      <c r="F127" s="6" t="n">
        <v>47</v>
      </c>
      <c r="G127" s="6" t="n">
        <v>0</v>
      </c>
      <c r="H127" s="6" t="inlineStr">
        <is>
          <t>1</t>
        </is>
      </c>
      <c r="I127" s="6" t="inlineStr">
        <is>
          <t>1</t>
        </is>
      </c>
      <c r="J127" s="6" t="inlineStr">
        <is>
          <t>2026-02-02</t>
        </is>
      </c>
      <c r="K127" s="6" t="inlineStr">
        <is>
          <t>2026-06-22</t>
        </is>
      </c>
      <c r="L127" s="6" t="inlineStr">
        <is>
          <t>24</t>
        </is>
      </c>
      <c r="M127" s="6" t="inlineStr">
        <is>
          <t>13</t>
        </is>
      </c>
      <c r="N127" s="6" t="inlineStr">
        <is>
          <t>21</t>
        </is>
      </c>
      <c r="O127" s="6" t="inlineStr">
        <is>
          <t>K-D04</t>
        </is>
      </c>
      <c r="P127" s="6" t="inlineStr">
        <is>
          <t>Sterling Heights</t>
        </is>
      </c>
      <c r="Q127" s="6" t="inlineStr">
        <is>
          <t>39880 Van Dyke, Sterling Heights, MI, 48313</t>
        </is>
      </c>
      <c r="R127" s="6" t="inlineStr">
        <is>
          <t>Fredric Neumann, DO (1 ortho)</t>
        </is>
      </c>
      <c r="S127" s="6" t="inlineStr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</row>
    <row r="128">
      <c r="A128" s="6" t="inlineStr">
        <is>
          <t>Dr. Robin’s Heath and Wellness Center</t>
        </is>
      </c>
      <c r="B128" s="6" t="inlineStr">
        <is>
          <t>31a45584-b284-4569-b97c-27016e2c1362</t>
        </is>
      </c>
      <c r="C128" s="6" t="inlineStr">
        <is>
          <t>PCP</t>
        </is>
      </c>
      <c r="D128" s="6" t="inlineStr">
        <is>
          <t>Tier 2</t>
        </is>
      </c>
      <c r="E128" s="6" t="inlineStr">
        <is>
          <t>Ortho Referrer</t>
        </is>
      </c>
      <c r="F128" s="6" t="n">
        <v>47</v>
      </c>
      <c r="G128" s="6" t="n">
        <v>0</v>
      </c>
      <c r="H128" s="6" t="inlineStr">
        <is>
          <t>1</t>
        </is>
      </c>
      <c r="I128" s="6" t="inlineStr">
        <is>
          <t>1</t>
        </is>
      </c>
      <c r="J128" s="6" t="inlineStr">
        <is>
          <t>2026-06-02</t>
        </is>
      </c>
      <c r="K128" s="6" t="inlineStr">
        <is>
          <t>2026-06-29</t>
        </is>
      </c>
      <c r="L128" s="6" t="inlineStr">
        <is>
          <t>17</t>
        </is>
      </c>
      <c r="M128" s="6" t="inlineStr">
        <is>
          <t>39</t>
        </is>
      </c>
      <c r="N128" s="6" t="inlineStr">
        <is>
          <t>21</t>
        </is>
      </c>
      <c r="O128" s="6" t="inlineStr">
        <is>
          <t>K-D08</t>
        </is>
      </c>
      <c r="P128" s="6" t="inlineStr">
        <is>
          <t>Livonia</t>
        </is>
      </c>
      <c r="Q128" s="6" t="inlineStr">
        <is>
          <t>14700 Farmington Road, Suite 103, Livonia, Michigan, 48154, United States, Livonia, Michigan, 48154</t>
        </is>
      </c>
      <c r="R128" s="6" t="inlineStr">
        <is>
          <t>Robin L Lipski, DO (1 ortho)</t>
        </is>
      </c>
      <c r="S128" s="6" t="inlineStr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>
      <c r="A129" s="6" t="inlineStr">
        <is>
          <t>NICOLOFF HOLISTIC FAMILY MEDICINE</t>
        </is>
      </c>
      <c r="B129" s="6" t="inlineStr">
        <is>
          <t>c53a52e1-de9e-438f-87b9-f80c5bf3c183</t>
        </is>
      </c>
      <c r="C129" s="6" t="inlineStr">
        <is>
          <t>PCP</t>
        </is>
      </c>
      <c r="D129" s="6" t="inlineStr">
        <is>
          <t>Tier 2</t>
        </is>
      </c>
      <c r="E129" s="6" t="inlineStr">
        <is>
          <t>Ortho Referrer</t>
        </is>
      </c>
      <c r="F129" s="6" t="n">
        <v>47</v>
      </c>
      <c r="G129" s="6" t="n">
        <v>0</v>
      </c>
      <c r="H129" s="6" t="inlineStr">
        <is>
          <t>1</t>
        </is>
      </c>
      <c r="I129" s="6" t="inlineStr">
        <is>
          <t>1</t>
        </is>
      </c>
      <c r="J129" s="6" t="inlineStr">
        <is>
          <t>2026-05-29</t>
        </is>
      </c>
      <c r="K129" s="6" t="inlineStr">
        <is>
          <t>2026-06-29</t>
        </is>
      </c>
      <c r="L129" s="6" t="inlineStr">
        <is>
          <t>17</t>
        </is>
      </c>
      <c r="M129" s="6" t="inlineStr">
        <is>
          <t>35</t>
        </is>
      </c>
      <c r="N129" s="6" t="inlineStr">
        <is>
          <t>21</t>
        </is>
      </c>
      <c r="O129" s="6" t="inlineStr">
        <is>
          <t>K-D08</t>
        </is>
      </c>
      <c r="P129" s="6" t="inlineStr">
        <is>
          <t>LIVONIA</t>
        </is>
      </c>
      <c r="Q129" s="6" t="inlineStr">
        <is>
          <t>15510 FARMINGTON RD, LIVONIA, MI, 48154</t>
        </is>
      </c>
      <c r="R129" s="6" t="inlineStr">
        <is>
          <t>George Nicoloff, MD (1 ortho)</t>
        </is>
      </c>
      <c r="S129" s="6" t="inlineStr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</row>
    <row r="130">
      <c r="A130" s="6" t="inlineStr">
        <is>
          <t>Mark Sisson Law</t>
        </is>
      </c>
      <c r="B130" s="6" t="inlineStr">
        <is>
          <t>b1d08ae6-47db-4f5e-ae59-860765486ca0</t>
        </is>
      </c>
      <c r="C130" s="6" t="inlineStr">
        <is>
          <t>Attorney / Legal</t>
        </is>
      </c>
      <c r="D130" s="6" t="inlineStr">
        <is>
          <t>Tier 2</t>
        </is>
      </c>
      <c r="E130" s="6" t="inlineStr">
        <is>
          <t>Ortho Referrer</t>
        </is>
      </c>
      <c r="F130" s="6" t="n">
        <v>47</v>
      </c>
      <c r="G130" s="6" t="n">
        <v>0</v>
      </c>
      <c r="H130" s="6" t="inlineStr">
        <is>
          <t>1</t>
        </is>
      </c>
      <c r="I130" s="6" t="inlineStr">
        <is>
          <t>1</t>
        </is>
      </c>
      <c r="J130" s="6" t="inlineStr">
        <is>
          <t>2026-04-20</t>
        </is>
      </c>
      <c r="K130" s="6" t="inlineStr">
        <is>
          <t>2026-07-08</t>
        </is>
      </c>
      <c r="L130" s="6" t="inlineStr">
        <is>
          <t>8</t>
        </is>
      </c>
      <c r="M130" s="6" t="inlineStr">
        <is>
          <t>45</t>
        </is>
      </c>
      <c r="N130" s="6" t="inlineStr">
        <is>
          <t>21</t>
        </is>
      </c>
      <c r="O130" s="6" t="inlineStr">
        <is>
          <t>K-D10</t>
        </is>
      </c>
      <c r="P130" s="6" t="inlineStr">
        <is>
          <t>Bingham Farms</t>
        </is>
      </c>
      <c r="Q130" s="6" t="inlineStr">
        <is>
          <t>30200 Telegraph Rd, Bingham Farms, Michigan, 48025</t>
        </is>
      </c>
      <c r="R130" s="6" t="inlineStr">
        <is>
          <t>Mark Sisson Law (1 ortho)</t>
        </is>
      </c>
      <c r="S130" s="6" t="inlineStr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>
      <c r="A131" s="6" t="inlineStr">
        <is>
          <t>Health Care Medical Center</t>
        </is>
      </c>
      <c r="B131" s="6" t="inlineStr">
        <is>
          <t>522bb9a7-68be-41af-9408-b29b136875e0</t>
        </is>
      </c>
      <c r="C131" s="6" t="inlineStr">
        <is>
          <t>PCP</t>
        </is>
      </c>
      <c r="D131" s="6" t="inlineStr">
        <is>
          <t>Tier 2</t>
        </is>
      </c>
      <c r="E131" s="6" t="inlineStr">
        <is>
          <t>Ortho Referrer</t>
        </is>
      </c>
      <c r="F131" s="6" t="n">
        <v>47</v>
      </c>
      <c r="G131" s="6" t="n">
        <v>0</v>
      </c>
      <c r="H131" s="6" t="inlineStr">
        <is>
          <t>1</t>
        </is>
      </c>
      <c r="I131" s="6" t="inlineStr">
        <is>
          <t>1</t>
        </is>
      </c>
      <c r="J131" s="6" t="inlineStr">
        <is>
          <t>2026-06-03</t>
        </is>
      </c>
      <c r="K131" s="6" t="inlineStr">
        <is>
          <t>2026-07-13</t>
        </is>
      </c>
      <c r="L131" s="6" t="inlineStr">
        <is>
          <t>3</t>
        </is>
      </c>
      <c r="M131" s="6" t="inlineStr">
        <is>
          <t>35</t>
        </is>
      </c>
      <c r="N131" s="6" t="inlineStr">
        <is>
          <t>21</t>
        </is>
      </c>
      <c r="O131" s="6" t="inlineStr">
        <is>
          <t>K-D13</t>
        </is>
      </c>
      <c r="P131" s="6" t="inlineStr">
        <is>
          <t>Center Line</t>
        </is>
      </c>
      <c r="Q131" s="6" t="inlineStr">
        <is>
          <t>25511 Van Dyke Ave, Center Line, Michigan, 48015</t>
        </is>
      </c>
      <c r="R131" s="6" t="inlineStr">
        <is>
          <t>Vinod Kohli, MD (1 ortho)</t>
        </is>
      </c>
      <c r="S131" s="6" t="inlineStr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</row>
    <row r="132">
      <c r="A132" s="6" t="inlineStr">
        <is>
          <t>Henry Ford Internists - Farmington Hills 150</t>
        </is>
      </c>
      <c r="B132" s="6" t="inlineStr">
        <is>
          <t>85ababc7-e294-4225-8cc7-28b8a5b1b9e2</t>
        </is>
      </c>
      <c r="C132" s="6" t="inlineStr">
        <is>
          <t>PCP</t>
        </is>
      </c>
      <c r="D132" s="6" t="inlineStr">
        <is>
          <t>Tier 2</t>
        </is>
      </c>
      <c r="E132" s="6" t="inlineStr">
        <is>
          <t>Ortho Referrer</t>
        </is>
      </c>
      <c r="F132" s="6" t="n">
        <v>46</v>
      </c>
      <c r="G132" s="6" t="n">
        <v>0</v>
      </c>
      <c r="H132" s="6" t="inlineStr">
        <is>
          <t>1</t>
        </is>
      </c>
      <c r="I132" s="6" t="inlineStr">
        <is>
          <t>1</t>
        </is>
      </c>
      <c r="J132" s="6" t="inlineStr">
        <is>
          <t>2026-05-04</t>
        </is>
      </c>
      <c r="K132" s="6" t="inlineStr">
        <is>
          <t>2026-05-08</t>
        </is>
      </c>
      <c r="L132" s="6" t="inlineStr">
        <is>
          <t>69</t>
        </is>
      </c>
      <c r="M132" s="6" t="inlineStr">
        <is>
          <t>77</t>
        </is>
      </c>
      <c r="N132" s="6" t="inlineStr">
        <is>
          <t>21</t>
        </is>
      </c>
      <c r="O132" s="6" t="inlineStr">
        <is>
          <t>K-D02</t>
        </is>
      </c>
      <c r="P132" s="6" t="inlineStr">
        <is>
          <t>Farmington Hills</t>
        </is>
      </c>
      <c r="Q132" s="6" t="inlineStr">
        <is>
          <t>30055 Northwestern Hwy #150, Farmington Hills, Michigan, 48334</t>
        </is>
      </c>
      <c r="R132" s="6" t="inlineStr">
        <is>
          <t>Seth A Goldman, DO (1 ortho)</t>
        </is>
      </c>
      <c r="S132" s="6" t="inlineStr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>
      <c r="A133" s="6" t="inlineStr">
        <is>
          <t>Bully Family Physicians</t>
        </is>
      </c>
      <c r="B133" s="6" t="inlineStr">
        <is>
          <t>1841257029</t>
        </is>
      </c>
      <c r="C133" s="6" t="inlineStr">
        <is>
          <t>PCP</t>
        </is>
      </c>
      <c r="D133" s="6" t="inlineStr">
        <is>
          <t>Tier 2</t>
        </is>
      </c>
      <c r="E133" s="6" t="inlineStr">
        <is>
          <t>Ortho Referrer</t>
        </is>
      </c>
      <c r="F133" s="6" t="n">
        <v>46</v>
      </c>
      <c r="G133" s="6" t="n">
        <v>0</v>
      </c>
      <c r="H133" s="6" t="inlineStr">
        <is>
          <t>1</t>
        </is>
      </c>
      <c r="I133" s="6" t="inlineStr">
        <is>
          <t>2</t>
        </is>
      </c>
      <c r="J133" s="6" t="inlineStr">
        <is>
          <t>2026-06-15</t>
        </is>
      </c>
      <c r="K133" s="6" t="inlineStr">
        <is>
          <t>2026-05-27</t>
        </is>
      </c>
      <c r="L133" s="6" t="inlineStr">
        <is>
          <t>50</t>
        </is>
      </c>
      <c r="M133" s="6" t="inlineStr">
        <is>
          <t>13.5</t>
        </is>
      </c>
      <c r="N133" s="6" t="inlineStr">
        <is>
          <t>21</t>
        </is>
      </c>
      <c r="O133" s="6" t="inlineStr">
        <is>
          <t>K-D03</t>
        </is>
      </c>
      <c r="P133" s="6" t="inlineStr">
        <is>
          <t>Southfield</t>
        </is>
      </c>
      <c r="Q133" s="6" t="inlineStr">
        <is>
          <t>29425 NORTHWESTERN HIGHWAY STE 330, Southfield, MI, 48034</t>
        </is>
      </c>
      <c r="R133" s="6" t="inlineStr">
        <is>
          <t>Tammie Bully, MD (1 ortho)</t>
        </is>
      </c>
      <c r="S133" s="6" t="inlineStr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>
      <c r="A134" s="6" t="inlineStr">
        <is>
          <t>Troy Internal Medicine</t>
        </is>
      </c>
      <c r="B134" s="6" t="inlineStr">
        <is>
          <t>227a3faf-d636-4f07-adbf-db1d49776b27</t>
        </is>
      </c>
      <c r="C134" s="6" t="inlineStr">
        <is>
          <t>PCP</t>
        </is>
      </c>
      <c r="D134" s="6" t="inlineStr">
        <is>
          <t>Tier 2</t>
        </is>
      </c>
      <c r="E134" s="6" t="inlineStr">
        <is>
          <t>Ortho Referrer</t>
        </is>
      </c>
      <c r="F134" s="6" t="n">
        <v>46</v>
      </c>
      <c r="G134" s="6" t="n">
        <v>0</v>
      </c>
      <c r="H134" s="6" t="inlineStr">
        <is>
          <t>1</t>
        </is>
      </c>
      <c r="I134" s="6" t="inlineStr">
        <is>
          <t>1</t>
        </is>
      </c>
      <c r="J134" s="6" t="inlineStr">
        <is>
          <t>2026-06-16</t>
        </is>
      </c>
      <c r="K134" s="6" t="inlineStr">
        <is>
          <t>2026-05-15</t>
        </is>
      </c>
      <c r="L134" s="6" t="inlineStr">
        <is>
          <t>62</t>
        </is>
      </c>
      <c r="M134" s="6" t="inlineStr">
        <is>
          <t>32</t>
        </is>
      </c>
      <c r="N134" s="6" t="inlineStr">
        <is>
          <t>21</t>
        </is>
      </c>
      <c r="O134" s="6" t="inlineStr">
        <is>
          <t>K-D04</t>
        </is>
      </c>
      <c r="P134" s="6" t="inlineStr">
        <is>
          <t>Troy</t>
        </is>
      </c>
      <c r="Q134" s="6" t="inlineStr">
        <is>
          <t>4600 Investment Dr, ste 300, Troy, MI, 48098</t>
        </is>
      </c>
      <c r="R134" s="6" t="inlineStr">
        <is>
          <t>Joseph Gamalski, DO (1 ortho)</t>
        </is>
      </c>
      <c r="S134" s="6" t="inlineStr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>
      <c r="A135" s="6" t="inlineStr">
        <is>
          <t>Purdy Chiropractic Center</t>
        </is>
      </c>
      <c r="B135" s="6" t="inlineStr">
        <is>
          <t>e07e12c2-6f7f-48ec-bcea-556f883be0ea</t>
        </is>
      </c>
      <c r="C135" s="6" t="inlineStr">
        <is>
          <t>Chiropractor</t>
        </is>
      </c>
      <c r="D135" s="6" t="inlineStr">
        <is>
          <t>Tier 2</t>
        </is>
      </c>
      <c r="E135" s="6" t="inlineStr">
        <is>
          <t>Ortho Referrer</t>
        </is>
      </c>
      <c r="F135" s="6" t="n">
        <v>46</v>
      </c>
      <c r="G135" s="6" t="n">
        <v>0</v>
      </c>
      <c r="H135" s="6" t="inlineStr">
        <is>
          <t>1</t>
        </is>
      </c>
      <c r="I135" s="6" t="inlineStr">
        <is>
          <t>1</t>
        </is>
      </c>
      <c r="J135" s="6" t="inlineStr">
        <is>
          <t>2026-03-03</t>
        </is>
      </c>
      <c r="K135" s="6" t="inlineStr">
        <is>
          <t>2026-06-18</t>
        </is>
      </c>
      <c r="L135" s="6" t="inlineStr">
        <is>
          <t>28</t>
        </is>
      </c>
      <c r="M135" s="6" t="inlineStr">
        <is>
          <t>1</t>
        </is>
      </c>
      <c r="N135" s="6" t="inlineStr">
        <is>
          <t>21</t>
        </is>
      </c>
      <c r="O135" s="6" t="inlineStr">
        <is>
          <t>K-D04</t>
        </is>
      </c>
      <c r="P135" s="6" t="inlineStr">
        <is>
          <t>Sterling Heights</t>
        </is>
      </c>
      <c r="Q135" s="6" t="inlineStr">
        <is>
          <t>37257 Mound Road, Sterling Heights, Michigan, 48310</t>
        </is>
      </c>
      <c r="R135" s="6" t="inlineStr">
        <is>
          <t>Nicole Purdy- Cantu, DC (1 ortho)</t>
        </is>
      </c>
      <c r="S135" s="6" t="inlineStr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</row>
    <row r="136">
      <c r="A136" s="6" t="inlineStr">
        <is>
          <t>BASEL BRIKHO MEDICAL GROUP - use this one</t>
        </is>
      </c>
      <c r="B136" s="6" t="inlineStr">
        <is>
          <t>7f38b648-2666-44e3-ad8a-135b873364c5</t>
        </is>
      </c>
      <c r="C136" s="6" t="inlineStr">
        <is>
          <t>PCP</t>
        </is>
      </c>
      <c r="D136" s="6" t="inlineStr">
        <is>
          <t>Tier 2</t>
        </is>
      </c>
      <c r="E136" s="6" t="inlineStr">
        <is>
          <t>Ortho Referrer</t>
        </is>
      </c>
      <c r="F136" s="6" t="n">
        <v>46</v>
      </c>
      <c r="G136" s="6" t="n">
        <v>0</v>
      </c>
      <c r="H136" s="6" t="inlineStr">
        <is>
          <t>1</t>
        </is>
      </c>
      <c r="I136" s="6" t="inlineStr">
        <is>
          <t>1</t>
        </is>
      </c>
      <c r="J136" s="6" t="inlineStr">
        <is>
          <t>2026-06-24</t>
        </is>
      </c>
      <c r="K136" s="6" t="inlineStr">
        <is>
          <t>2026-06-05</t>
        </is>
      </c>
      <c r="L136" s="6" t="inlineStr">
        <is>
          <t>41</t>
        </is>
      </c>
      <c r="M136" s="6" t="inlineStr">
        <is>
          <t>19</t>
        </is>
      </c>
      <c r="N136" s="6" t="inlineStr">
        <is>
          <t>21</t>
        </is>
      </c>
      <c r="O136" s="6" t="inlineStr">
        <is>
          <t>K-D04</t>
        </is>
      </c>
      <c r="P136" s="6" t="inlineStr">
        <is>
          <t>STERLING HEIGHTS</t>
        </is>
      </c>
      <c r="Q136" s="6" t="inlineStr">
        <is>
          <t>6055 19 MILE RD, STERLING HEIGHTS, Michigan, 48314</t>
        </is>
      </c>
      <c r="R136" s="6" t="inlineStr">
        <is>
          <t>Mada H Jamil Md Mph (1 ortho)</t>
        </is>
      </c>
      <c r="S136" s="6" t="inlineStr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>
      <c r="A137" s="6" t="inlineStr">
        <is>
          <t>Plymouth Urgent Care</t>
        </is>
      </c>
      <c r="B137" s="6" t="inlineStr">
        <is>
          <t>ea50a287-34fb-4325-8a2e-5ba156145624</t>
        </is>
      </c>
      <c r="C137" s="6" t="inlineStr">
        <is>
          <t>Urgent Care</t>
        </is>
      </c>
      <c r="D137" s="6" t="inlineStr">
        <is>
          <t>Tier 2</t>
        </is>
      </c>
      <c r="E137" s="6" t="inlineStr">
        <is>
          <t>Ortho Referrer</t>
        </is>
      </c>
      <c r="F137" s="6" t="n">
        <v>46</v>
      </c>
      <c r="G137" s="6" t="n">
        <v>0</v>
      </c>
      <c r="H137" s="6" t="inlineStr">
        <is>
          <t>1</t>
        </is>
      </c>
      <c r="I137" s="6" t="inlineStr">
        <is>
          <t>1</t>
        </is>
      </c>
      <c r="J137" s="6" t="inlineStr">
        <is>
          <t>2026-05-08</t>
        </is>
      </c>
      <c r="K137" s="6" t="inlineStr">
        <is>
          <t>2026-06-04</t>
        </is>
      </c>
      <c r="L137" s="6" t="inlineStr">
        <is>
          <t>42</t>
        </is>
      </c>
      <c r="M137" s="6" t="inlineStr">
        <is>
          <t>46</t>
        </is>
      </c>
      <c r="N137" s="6" t="inlineStr">
        <is>
          <t>21</t>
        </is>
      </c>
      <c r="O137" s="6" t="inlineStr">
        <is>
          <t>K-D05</t>
        </is>
      </c>
      <c r="P137" s="6" t="inlineStr">
        <is>
          <t>Plymouth</t>
        </is>
      </c>
      <c r="Q137" s="6" t="inlineStr">
        <is>
          <t>41424 Ann Arbor Rd, Plymouth, Michigan, 48170</t>
        </is>
      </c>
      <c r="R137" s="6" t="inlineStr">
        <is>
          <t>Plymouth Urgent Care (1 ortho)</t>
        </is>
      </c>
      <c r="S137" s="6" t="inlineStr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</row>
    <row r="138">
      <c r="A138" s="6" t="inlineStr">
        <is>
          <t>Pavilion Family Practice - use this one</t>
        </is>
      </c>
      <c r="B138" s="6" t="inlineStr">
        <is>
          <t>81d28e80-f8a8-4a1f-a027-35e8a21e8366</t>
        </is>
      </c>
      <c r="C138" s="6" t="inlineStr">
        <is>
          <t>PCP</t>
        </is>
      </c>
      <c r="D138" s="6" t="inlineStr">
        <is>
          <t>Tier 2</t>
        </is>
      </c>
      <c r="E138" s="6" t="inlineStr">
        <is>
          <t>Ortho Referrer</t>
        </is>
      </c>
      <c r="F138" s="6" t="n">
        <v>46</v>
      </c>
      <c r="G138" s="6" t="n">
        <v>0</v>
      </c>
      <c r="H138" s="6" t="inlineStr">
        <is>
          <t>1</t>
        </is>
      </c>
      <c r="I138" s="6" t="inlineStr">
        <is>
          <t>1</t>
        </is>
      </c>
      <c r="J138" s="6" t="inlineStr">
        <is>
          <t>2026-06-22</t>
        </is>
      </c>
      <c r="K138" s="6" t="inlineStr">
        <is>
          <t>2026-05-28</t>
        </is>
      </c>
      <c r="L138" s="6" t="inlineStr">
        <is>
          <t>49</t>
        </is>
      </c>
      <c r="M138" s="6" t="inlineStr">
        <is>
          <t>25</t>
        </is>
      </c>
      <c r="N138" s="6" t="inlineStr">
        <is>
          <t>21</t>
        </is>
      </c>
      <c r="O138" s="6" t="inlineStr">
        <is>
          <t>K-D06</t>
        </is>
      </c>
      <c r="P138" s="6" t="inlineStr">
        <is>
          <t>SOUTHFIELD</t>
        </is>
      </c>
      <c r="Q138" s="6" t="inlineStr">
        <is>
          <t>23077 GREENFIELD RD STE 195, SOUTHFIELD, MI, 48075</t>
        </is>
      </c>
      <c r="R138" s="6" t="inlineStr">
        <is>
          <t>Lauren Uroda, MD (1 ortho)</t>
        </is>
      </c>
      <c r="S138" s="6" t="inlineStr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>
      <c r="A139" s="6" t="inlineStr">
        <is>
          <t>APH - Pavillion IM Use this one</t>
        </is>
      </c>
      <c r="B139" s="6" t="inlineStr">
        <is>
          <t>2042f8c4-062b-497d-93cd-a5501bc57707</t>
        </is>
      </c>
      <c r="C139" s="6" t="inlineStr">
        <is>
          <t>PCP</t>
        </is>
      </c>
      <c r="D139" s="6" t="inlineStr">
        <is>
          <t>Tier 2</t>
        </is>
      </c>
      <c r="E139" s="6" t="inlineStr">
        <is>
          <t>Ortho Referrer</t>
        </is>
      </c>
      <c r="F139" s="6" t="n">
        <v>46</v>
      </c>
      <c r="G139" s="6" t="n">
        <v>0</v>
      </c>
      <c r="H139" s="6" t="inlineStr">
        <is>
          <t>1</t>
        </is>
      </c>
      <c r="I139" s="6" t="inlineStr">
        <is>
          <t>1</t>
        </is>
      </c>
      <c r="J139" s="6" t="inlineStr">
        <is>
          <t>2026-04-20</t>
        </is>
      </c>
      <c r="K139" s="6" t="inlineStr">
        <is>
          <t>2026-05-29</t>
        </is>
      </c>
      <c r="L139" s="6" t="inlineStr">
        <is>
          <t>48</t>
        </is>
      </c>
      <c r="M139" s="6" t="inlineStr">
        <is>
          <t>46</t>
        </is>
      </c>
      <c r="N139" s="6" t="inlineStr">
        <is>
          <t>21</t>
        </is>
      </c>
      <c r="O139" s="6" t="inlineStr">
        <is>
          <t>K-D06</t>
        </is>
      </c>
      <c r="P139" s="6" t="inlineStr">
        <is>
          <t>Southfield</t>
        </is>
      </c>
      <c r="Q139" s="6" t="inlineStr">
        <is>
          <t>22250 Providence Drive #702, Southfield, Michigan, 48075</t>
        </is>
      </c>
      <c r="R139" s="6" t="inlineStr">
        <is>
          <t>Yosef Yitzchok Huber, MD (1 ortho)</t>
        </is>
      </c>
      <c r="S139" s="6" t="inlineStr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</row>
    <row r="140">
      <c r="A140" s="6" t="inlineStr">
        <is>
          <t>IPHCA</t>
        </is>
      </c>
      <c r="B140" s="6" t="inlineStr">
        <is>
          <t>74b8c0cb-3736-44a0-9158-3b8106c9c58f</t>
        </is>
      </c>
      <c r="C140" s="6" t="inlineStr">
        <is>
          <t>PCP</t>
        </is>
      </c>
      <c r="D140" s="6" t="inlineStr">
        <is>
          <t>Tier 2</t>
        </is>
      </c>
      <c r="E140" s="6" t="inlineStr">
        <is>
          <t>Ortho Referrer</t>
        </is>
      </c>
      <c r="F140" s="6" t="n">
        <v>46</v>
      </c>
      <c r="G140" s="6" t="n">
        <v>0</v>
      </c>
      <c r="H140" s="6" t="inlineStr">
        <is>
          <t>1</t>
        </is>
      </c>
      <c r="I140" s="6" t="inlineStr">
        <is>
          <t>1</t>
        </is>
      </c>
      <c r="J140" s="6" t="inlineStr">
        <is>
          <t>2026-04-02</t>
        </is>
      </c>
      <c r="K140" s="6" t="inlineStr">
        <is>
          <t>2026-05-26</t>
        </is>
      </c>
      <c r="L140" s="6" t="inlineStr">
        <is>
          <t>51</t>
        </is>
      </c>
      <c r="M140" s="6" t="inlineStr">
        <is>
          <t>30</t>
        </is>
      </c>
      <c r="N140" s="6" t="inlineStr">
        <is>
          <t>21</t>
        </is>
      </c>
      <c r="O140" s="6" t="inlineStr">
        <is>
          <t>K-D07</t>
        </is>
      </c>
      <c r="P140" s="6" t="inlineStr">
        <is>
          <t>Commerce Township</t>
        </is>
      </c>
      <c r="Q140" s="6" t="inlineStr">
        <is>
          <t>4057 Pioneer Dr, Suite 300, Commerce Township, Michigan, 48390</t>
        </is>
      </c>
      <c r="R140" s="6" t="inlineStr">
        <is>
          <t>Suzan Syed, MD (1 ortho)</t>
        </is>
      </c>
      <c r="S140" s="6" t="inlineStr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>
      <c r="A141" s="6" t="inlineStr">
        <is>
          <t>Oakland Integrated Healthcare Network</t>
        </is>
      </c>
      <c r="B141" s="6" t="inlineStr">
        <is>
          <t>81f49d59-3845-4c1e-8a21-7b2a067375e5</t>
        </is>
      </c>
      <c r="C141" s="6" t="inlineStr">
        <is>
          <t>PCP</t>
        </is>
      </c>
      <c r="D141" s="6" t="inlineStr">
        <is>
          <t>Tier 2</t>
        </is>
      </c>
      <c r="E141" s="6" t="inlineStr">
        <is>
          <t>Ortho Referrer</t>
        </is>
      </c>
      <c r="F141" s="6" t="n">
        <v>46</v>
      </c>
      <c r="G141" s="6" t="n">
        <v>0</v>
      </c>
      <c r="H141" s="6" t="inlineStr">
        <is>
          <t>1</t>
        </is>
      </c>
      <c r="I141" s="6" t="inlineStr">
        <is>
          <t>1</t>
        </is>
      </c>
      <c r="J141" s="6" t="inlineStr">
        <is>
          <t>2026-06-08</t>
        </is>
      </c>
      <c r="K141" s="6" t="inlineStr">
        <is>
          <t>2026-05-12</t>
        </is>
      </c>
      <c r="L141" s="6" t="inlineStr">
        <is>
          <t>65</t>
        </is>
      </c>
      <c r="M141" s="6" t="inlineStr">
        <is>
          <t>27</t>
        </is>
      </c>
      <c r="N141" s="6" t="inlineStr">
        <is>
          <t>21</t>
        </is>
      </c>
      <c r="O141" s="6" t="inlineStr">
        <is>
          <t>K-D09</t>
        </is>
      </c>
      <c r="P141" s="6" t="inlineStr">
        <is>
          <t>Pontiac</t>
        </is>
      </c>
      <c r="Q141" s="6" t="inlineStr">
        <is>
          <t>114 Orchard Lake Rd, Pontiac, Michigan, 48341</t>
        </is>
      </c>
      <c r="R141" s="6" t="inlineStr">
        <is>
          <t>Faisal M Shareefuddin, MD (1 ortho)</t>
        </is>
      </c>
      <c r="S141" s="6" t="inlineStr">
        <is>
          <t>Medicaid-likely — verify payer</t>
        </is>
      </c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</row>
    <row r="142">
      <c r="A142" s="6" t="inlineStr">
        <is>
          <t>CHARLES G GODOSHIAN, MD, PC</t>
        </is>
      </c>
      <c r="B142" s="6" t="inlineStr">
        <is>
          <t>1a773df8-9f15-454d-a12a-8fd6751d4903</t>
        </is>
      </c>
      <c r="C142" s="6" t="inlineStr">
        <is>
          <t>PCP</t>
        </is>
      </c>
      <c r="D142" s="6" t="inlineStr">
        <is>
          <t>Tier 2</t>
        </is>
      </c>
      <c r="E142" s="6" t="inlineStr">
        <is>
          <t>Ortho Referrer</t>
        </is>
      </c>
      <c r="F142" s="6" t="n">
        <v>46</v>
      </c>
      <c r="G142" s="6" t="n">
        <v>0</v>
      </c>
      <c r="H142" s="6" t="inlineStr">
        <is>
          <t>1</t>
        </is>
      </c>
      <c r="I142" s="6" t="inlineStr">
        <is>
          <t>1</t>
        </is>
      </c>
      <c r="J142" s="6" t="inlineStr">
        <is>
          <t>2026-06-05</t>
        </is>
      </c>
      <c r="K142" s="6" t="inlineStr">
        <is>
          <t>2026-05-28</t>
        </is>
      </c>
      <c r="L142" s="6" t="inlineStr">
        <is>
          <t>49</t>
        </is>
      </c>
      <c r="M142" s="6" t="inlineStr">
        <is>
          <t>8</t>
        </is>
      </c>
      <c r="N142" s="6" t="inlineStr">
        <is>
          <t>21</t>
        </is>
      </c>
      <c r="O142" s="6" t="inlineStr">
        <is>
          <t>K-D10</t>
        </is>
      </c>
      <c r="P142" s="6" t="inlineStr">
        <is>
          <t>SOUTHFIELD</t>
        </is>
      </c>
      <c r="Q142" s="6" t="inlineStr">
        <is>
          <t>27177 LAHSER RD STE 104, SOUTHFIELD, MI, 48034</t>
        </is>
      </c>
      <c r="R142" s="6" t="inlineStr">
        <is>
          <t>Charles G Godoshian, MD (1 ortho)</t>
        </is>
      </c>
      <c r="S142" s="6" t="inlineStr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>
      <c r="A143" s="6" t="inlineStr">
        <is>
          <t>Legend Health - Now One Health</t>
        </is>
      </c>
      <c r="B143" s="6" t="inlineStr">
        <is>
          <t>078d2fa6-e81c-41d1-95f2-04234d511192</t>
        </is>
      </c>
      <c r="C143" s="6" t="inlineStr">
        <is>
          <t>PCP</t>
        </is>
      </c>
      <c r="D143" s="6" t="inlineStr">
        <is>
          <t>Tier 2</t>
        </is>
      </c>
      <c r="E143" s="6" t="inlineStr">
        <is>
          <t>Ortho Referrer</t>
        </is>
      </c>
      <c r="F143" s="6" t="n">
        <v>46</v>
      </c>
      <c r="G143" s="6" t="n">
        <v>0</v>
      </c>
      <c r="H143" s="6" t="inlineStr">
        <is>
          <t>1</t>
        </is>
      </c>
      <c r="I143" s="6" t="inlineStr">
        <is>
          <t>3</t>
        </is>
      </c>
      <c r="J143" s="6" t="inlineStr">
        <is>
          <t>2026-06-16</t>
        </is>
      </c>
      <c r="K143" s="6" t="inlineStr">
        <is>
          <t>2026-05-27</t>
        </is>
      </c>
      <c r="L143" s="6" t="inlineStr">
        <is>
          <t>50</t>
        </is>
      </c>
      <c r="M143" s="6" t="inlineStr">
        <is>
          <t>57</t>
        </is>
      </c>
      <c r="N143" s="6" t="inlineStr">
        <is>
          <t>21</t>
        </is>
      </c>
      <c r="O143" s="6" t="inlineStr">
        <is>
          <t>K-D10</t>
        </is>
      </c>
      <c r="P143" s="6" t="inlineStr">
        <is>
          <t>Southfield</t>
        </is>
      </c>
      <c r="Q143" s="6" t="inlineStr">
        <is>
          <t>29201 Telegraph Rd, ste 403, Southfield, MI, 48034</t>
        </is>
      </c>
      <c r="R143" s="6" t="inlineStr">
        <is>
          <t>Theresa Brietzke (1 ortho) · David Williams, MD</t>
        </is>
      </c>
      <c r="S143" s="6" t="inlineStr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</row>
    <row r="144">
      <c r="A144" s="6" t="inlineStr">
        <is>
          <t>Millenium Associated Physicians - 130A</t>
        </is>
      </c>
      <c r="B144" s="6" t="inlineStr">
        <is>
          <t>1972588259</t>
        </is>
      </c>
      <c r="C144" s="6" t="inlineStr">
        <is>
          <t>PCP</t>
        </is>
      </c>
      <c r="D144" s="6" t="inlineStr">
        <is>
          <t>Tier 2</t>
        </is>
      </c>
      <c r="E144" s="6" t="inlineStr">
        <is>
          <t>Ortho Referrer</t>
        </is>
      </c>
      <c r="F144" s="6" t="n">
        <v>46</v>
      </c>
      <c r="G144" s="6" t="n">
        <v>0</v>
      </c>
      <c r="H144" s="6" t="inlineStr">
        <is>
          <t>1</t>
        </is>
      </c>
      <c r="I144" s="6" t="inlineStr">
        <is>
          <t>1</t>
        </is>
      </c>
      <c r="J144" s="6" t="inlineStr">
        <is>
          <t>2026-05-07</t>
        </is>
      </c>
      <c r="K144" s="6" t="inlineStr">
        <is>
          <t>2026-05-08</t>
        </is>
      </c>
      <c r="L144" s="6" t="inlineStr">
        <is>
          <t>69</t>
        </is>
      </c>
      <c r="M144" s="6" t="inlineStr">
        <is>
          <t>80</t>
        </is>
      </c>
      <c r="N144" s="6" t="inlineStr">
        <is>
          <t>21</t>
        </is>
      </c>
      <c r="O144" s="6" t="inlineStr">
        <is>
          <t>K-D11</t>
        </is>
      </c>
      <c r="P144" s="6" t="inlineStr">
        <is>
          <t>Farmington Hills</t>
        </is>
      </c>
      <c r="Q144" s="6" t="inlineStr">
        <is>
          <t>32255 Northwestern Highway, Suite 130A, Farmington Hills, MI, 48334</t>
        </is>
      </c>
      <c r="R144" s="6" t="inlineStr">
        <is>
          <t>Barry Feldman, MD (1 ortho)</t>
        </is>
      </c>
      <c r="S144" s="6" t="inlineStr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>
      <c r="A145" s="6" t="inlineStr">
        <is>
          <t>Millennium Affiliated Physicians - 130B</t>
        </is>
      </c>
      <c r="B145" s="6" t="inlineStr">
        <is>
          <t>27e5353b-7c0d-406b-be13-0d0eb3c3e200</t>
        </is>
      </c>
      <c r="C145" s="6" t="inlineStr">
        <is>
          <t>PCP</t>
        </is>
      </c>
      <c r="D145" s="6" t="inlineStr">
        <is>
          <t>Tier 2</t>
        </is>
      </c>
      <c r="E145" s="6" t="inlineStr">
        <is>
          <t>Ortho Referrer</t>
        </is>
      </c>
      <c r="F145" s="6" t="n">
        <v>46</v>
      </c>
      <c r="G145" s="6" t="n">
        <v>0</v>
      </c>
      <c r="H145" s="6" t="inlineStr">
        <is>
          <t>1</t>
        </is>
      </c>
      <c r="I145" s="6" t="inlineStr">
        <is>
          <t>2</t>
        </is>
      </c>
      <c r="J145" s="6" t="inlineStr">
        <is>
          <t>2026-04-08</t>
        </is>
      </c>
      <c r="K145" s="6" t="inlineStr">
        <is>
          <t>2026-05-08</t>
        </is>
      </c>
      <c r="L145" s="6" t="inlineStr">
        <is>
          <t>69</t>
        </is>
      </c>
      <c r="M145" s="6" t="inlineStr">
        <is>
          <t>54.5</t>
        </is>
      </c>
      <c r="N145" s="6" t="inlineStr">
        <is>
          <t>21</t>
        </is>
      </c>
      <c r="O145" s="6" t="inlineStr">
        <is>
          <t>K-D11</t>
        </is>
      </c>
      <c r="P145" s="6" t="inlineStr">
        <is>
          <t>FARMINGTON HILLS</t>
        </is>
      </c>
      <c r="Q145" s="6" t="inlineStr">
        <is>
          <t>32255 NORTHWESTERN HWY STE 130B, FARMINGTON HILLS, Michigan, 48334</t>
        </is>
      </c>
      <c r="R145" s="6" t="inlineStr">
        <is>
          <t>Michael White, MD (1 ortho) · Geoffrey Trivax, MD</t>
        </is>
      </c>
      <c r="S145" s="6" t="inlineStr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</row>
    <row r="146">
      <c r="A146" s="6" t="inlineStr">
        <is>
          <t>Premier Internists - Suite 180</t>
        </is>
      </c>
      <c r="B146" s="6" t="inlineStr">
        <is>
          <t>23ff4711-fcf4-4eb3-bd86-aa07b5332791</t>
        </is>
      </c>
      <c r="C146" s="6" t="inlineStr">
        <is>
          <t>PCP</t>
        </is>
      </c>
      <c r="D146" s="6" t="inlineStr">
        <is>
          <t>Tier 2</t>
        </is>
      </c>
      <c r="E146" s="6" t="inlineStr">
        <is>
          <t>Ortho Referrer</t>
        </is>
      </c>
      <c r="F146" s="6" t="n">
        <v>46</v>
      </c>
      <c r="G146" s="6" t="n">
        <v>0</v>
      </c>
      <c r="H146" s="6" t="inlineStr">
        <is>
          <t>1</t>
        </is>
      </c>
      <c r="I146" s="6" t="inlineStr">
        <is>
          <t>5</t>
        </is>
      </c>
      <c r="J146" s="6" t="inlineStr">
        <is>
          <t>2026-07-07</t>
        </is>
      </c>
      <c r="K146" s="6" t="inlineStr">
        <is>
          <t>2026-05-08</t>
        </is>
      </c>
      <c r="L146" s="6" t="inlineStr">
        <is>
          <t>69</t>
        </is>
      </c>
      <c r="M146" s="6" t="inlineStr">
        <is>
          <t>60</t>
        </is>
      </c>
      <c r="N146" s="6" t="inlineStr">
        <is>
          <t>21</t>
        </is>
      </c>
      <c r="O146" s="6" t="inlineStr">
        <is>
          <t>K-D11</t>
        </is>
      </c>
      <c r="P146" s="6" t="inlineStr">
        <is>
          <t>FARMINGTON HILLS</t>
        </is>
      </c>
      <c r="Q146" s="6" t="inlineStr">
        <is>
          <t>32255 NORTHWESTERN HWY STE 180, FARMINGTON HILLS, Michigan, 48334</t>
        </is>
      </c>
      <c r="R146" s="6" t="inlineStr">
        <is>
          <t>Peter Lipson, MD (1 ortho) · Samer A Ilayan · Michael Kizy, MD</t>
        </is>
      </c>
      <c r="S146" s="6" t="inlineStr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>
      <c r="A147" s="6" t="inlineStr">
        <is>
          <t>ALLEN PARK FAMILY PHYSICIANS</t>
        </is>
      </c>
      <c r="B147" s="6" t="inlineStr">
        <is>
          <t>617ab041-696a-4d5d-92bd-eb43c5eb4276</t>
        </is>
      </c>
      <c r="C147" s="6" t="inlineStr">
        <is>
          <t>PCP</t>
        </is>
      </c>
      <c r="D147" s="6" t="inlineStr">
        <is>
          <t>Tier 2</t>
        </is>
      </c>
      <c r="E147" s="6" t="inlineStr">
        <is>
          <t>Ortho Referrer</t>
        </is>
      </c>
      <c r="F147" s="6" t="n">
        <v>46</v>
      </c>
      <c r="G147" s="6" t="n">
        <v>0</v>
      </c>
      <c r="H147" s="6" t="inlineStr">
        <is>
          <t>1</t>
        </is>
      </c>
      <c r="I147" s="6" t="inlineStr">
        <is>
          <t>2</t>
        </is>
      </c>
      <c r="J147" s="6" t="inlineStr">
        <is>
          <t>2026-03-13</t>
        </is>
      </c>
      <c r="K147" s="6" t="inlineStr">
        <is>
          <t>2026-05-01</t>
        </is>
      </c>
      <c r="L147" s="6" t="inlineStr">
        <is>
          <t>76</t>
        </is>
      </c>
      <c r="M147" s="6" t="inlineStr">
        <is>
          <t>46</t>
        </is>
      </c>
      <c r="N147" s="6" t="inlineStr">
        <is>
          <t>21</t>
        </is>
      </c>
      <c r="O147" s="6" t="inlineStr">
        <is>
          <t>K-D12</t>
        </is>
      </c>
      <c r="P147" s="6" t="inlineStr">
        <is>
          <t>Allen Park</t>
        </is>
      </c>
      <c r="Q147" s="6" t="inlineStr">
        <is>
          <t>7445 Allen Road, Allen Park, Michigan, 48101</t>
        </is>
      </c>
      <c r="R147" s="6" t="inlineStr">
        <is>
          <t>Patrick R Vandehey, DO (1 ortho) · Patrick Vandehey</t>
        </is>
      </c>
      <c r="S147" s="6" t="inlineStr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</row>
    <row r="148">
      <c r="A148" s="6" t="inlineStr">
        <is>
          <t>WESTLAND CLINIC - use</t>
        </is>
      </c>
      <c r="B148" s="6" t="inlineStr">
        <is>
          <t>ff31198c-887e-4720-94cd-4d7fb158d9b5</t>
        </is>
      </c>
      <c r="C148" s="6" t="inlineStr">
        <is>
          <t>PCP</t>
        </is>
      </c>
      <c r="D148" s="6" t="inlineStr">
        <is>
          <t>Tier 2</t>
        </is>
      </c>
      <c r="E148" s="6" t="inlineStr">
        <is>
          <t>Ortho Referrer</t>
        </is>
      </c>
      <c r="F148" s="6" t="n">
        <v>46</v>
      </c>
      <c r="G148" s="6" t="n">
        <v>0</v>
      </c>
      <c r="H148" s="6" t="inlineStr">
        <is>
          <t>1</t>
        </is>
      </c>
      <c r="I148" s="6" t="inlineStr">
        <is>
          <t>1</t>
        </is>
      </c>
      <c r="J148" s="6" t="inlineStr">
        <is>
          <t>2026-01-05</t>
        </is>
      </c>
      <c r="K148" s="6" t="inlineStr">
        <is>
          <t>2026-06-05</t>
        </is>
      </c>
      <c r="L148" s="6" t="inlineStr">
        <is>
          <t>41</t>
        </is>
      </c>
      <c r="M148" s="6" t="inlineStr">
        <is>
          <t>0</t>
        </is>
      </c>
      <c r="N148" s="6" t="inlineStr">
        <is>
          <t>21</t>
        </is>
      </c>
      <c r="O148" s="6" t="inlineStr">
        <is>
          <t>K-D12</t>
        </is>
      </c>
      <c r="P148" s="6" t="inlineStr">
        <is>
          <t>WESTLAND</t>
        </is>
      </c>
      <c r="Q148" s="6" t="inlineStr">
        <is>
          <t>6149 N WAYNE RD, WESTLAND, MI, 48185</t>
        </is>
      </c>
      <c r="R148" s="6" t="inlineStr">
        <is>
          <t>Jodie Colman, NP (1 ortho)</t>
        </is>
      </c>
      <c r="S148" s="6" t="inlineStr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>
      <c r="A149" s="6" t="inlineStr">
        <is>
          <t>Physician HeathCare Network - Marysville</t>
        </is>
      </c>
      <c r="B149" s="6" t="inlineStr">
        <is>
          <t>f6ae01d5-e2aa-485f-93b1-7586e5fdcd26</t>
        </is>
      </c>
      <c r="C149" s="6" t="inlineStr">
        <is>
          <t>PCP</t>
        </is>
      </c>
      <c r="D149" s="6" t="inlineStr">
        <is>
          <t>Tier 2</t>
        </is>
      </c>
      <c r="E149" s="6" t="inlineStr">
        <is>
          <t>Ortho Referrer</t>
        </is>
      </c>
      <c r="F149" s="6" t="n">
        <v>46</v>
      </c>
      <c r="G149" s="6" t="n">
        <v>0</v>
      </c>
      <c r="H149" s="6" t="inlineStr">
        <is>
          <t>1</t>
        </is>
      </c>
      <c r="I149" s="6" t="inlineStr">
        <is>
          <t>1</t>
        </is>
      </c>
      <c r="J149" s="6" t="inlineStr">
        <is>
          <t>2026-04-08</t>
        </is>
      </c>
      <c r="K149" s="6" t="inlineStr">
        <is>
          <t>2026-05-05</t>
        </is>
      </c>
      <c r="L149" s="6" t="inlineStr">
        <is>
          <t>72</t>
        </is>
      </c>
      <c r="M149" s="6" t="inlineStr">
        <is>
          <t>41</t>
        </is>
      </c>
      <c r="N149" s="6" t="inlineStr">
        <is>
          <t>21</t>
        </is>
      </c>
      <c r="O149" s="6" t="inlineStr">
        <is>
          <t>K-D15</t>
        </is>
      </c>
      <c r="P149" s="6" t="inlineStr">
        <is>
          <t>Marysville</t>
        </is>
      </c>
      <c r="Q149" s="6" t="inlineStr">
        <is>
          <t>3350 Gratiot Boulevard, Marysville, Michigan, 48040</t>
        </is>
      </c>
      <c r="R149" s="6" t="inlineStr">
        <is>
          <t>John D Colombo, MD (1 ortho)</t>
        </is>
      </c>
      <c r="S149" s="6" t="inlineStr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</row>
    <row r="150">
      <c r="A150" s="6" t="inlineStr">
        <is>
          <t>Lake Huron Medical Center - Fort Gratiot</t>
        </is>
      </c>
      <c r="B150" s="6" t="inlineStr">
        <is>
          <t>b4513fe8-6a5e-436a-8c89-648ea99ad482</t>
        </is>
      </c>
      <c r="C150" s="6" t="inlineStr">
        <is>
          <t>PCP</t>
        </is>
      </c>
      <c r="D150" s="6" t="inlineStr">
        <is>
          <t>Tier 2</t>
        </is>
      </c>
      <c r="E150" s="6" t="inlineStr">
        <is>
          <t>Ortho Referrer</t>
        </is>
      </c>
      <c r="F150" s="6" t="n">
        <v>46</v>
      </c>
      <c r="G150" s="6" t="n">
        <v>0</v>
      </c>
      <c r="H150" s="6" t="inlineStr">
        <is>
          <t>1</t>
        </is>
      </c>
      <c r="I150" s="6" t="inlineStr">
        <is>
          <t>1</t>
        </is>
      </c>
      <c r="J150" s="6" t="inlineStr">
        <is>
          <t>2026-01-08</t>
        </is>
      </c>
      <c r="K150" s="6" t="inlineStr">
        <is>
          <t>2026-05-05</t>
        </is>
      </c>
      <c r="L150" s="6" t="inlineStr">
        <is>
          <t>72</t>
        </is>
      </c>
      <c r="M150" s="6" t="inlineStr">
        <is>
          <t>63</t>
        </is>
      </c>
      <c r="N150" s="6" t="inlineStr">
        <is>
          <t>21</t>
        </is>
      </c>
      <c r="O150" s="6" t="inlineStr">
        <is>
          <t>K-D18</t>
        </is>
      </c>
      <c r="P150" s="6" t="inlineStr">
        <is>
          <t>Fort Gratiot</t>
        </is>
      </c>
      <c r="Q150" s="6" t="inlineStr">
        <is>
          <t>4190 24th Avenue, Suite 208, Fort Gratiot, Michigan, 48059</t>
        </is>
      </c>
      <c r="R150" s="6" t="inlineStr">
        <is>
          <t>Rubaiya Faruque, DO (1 ortho)</t>
        </is>
      </c>
      <c r="S150" s="6" t="inlineStr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>
      <c r="A151" s="6" t="inlineStr">
        <is>
          <t>McLaren Port Huron Fort Gratiot Internal Medicine</t>
        </is>
      </c>
      <c r="B151" s="6" t="inlineStr">
        <is>
          <t>292b69e3-3f35-422f-a60b-87c0ddf678d1</t>
        </is>
      </c>
      <c r="C151" s="6" t="inlineStr">
        <is>
          <t>PCP</t>
        </is>
      </c>
      <c r="D151" s="6" t="inlineStr">
        <is>
          <t>Tier 2</t>
        </is>
      </c>
      <c r="E151" s="6" t="inlineStr">
        <is>
          <t>Ortho Referrer</t>
        </is>
      </c>
      <c r="F151" s="6" t="n">
        <v>46</v>
      </c>
      <c r="G151" s="6" t="n">
        <v>0</v>
      </c>
      <c r="H151" s="6" t="inlineStr">
        <is>
          <t>1</t>
        </is>
      </c>
      <c r="I151" s="6" t="inlineStr">
        <is>
          <t>1</t>
        </is>
      </c>
      <c r="J151" s="6" t="inlineStr">
        <is>
          <t>2026-06-22</t>
        </is>
      </c>
      <c r="K151" s="6" t="inlineStr">
        <is>
          <t>2026-05-05</t>
        </is>
      </c>
      <c r="L151" s="6" t="inlineStr">
        <is>
          <t>72</t>
        </is>
      </c>
      <c r="M151" s="6" t="inlineStr">
        <is>
          <t>48</t>
        </is>
      </c>
      <c r="N151" s="6" t="inlineStr">
        <is>
          <t>21</t>
        </is>
      </c>
      <c r="O151" s="6" t="inlineStr">
        <is>
          <t>K-D18</t>
        </is>
      </c>
      <c r="P151" s="6" t="inlineStr">
        <is>
          <t>Fort Gratiot</t>
        </is>
      </c>
      <c r="Q151" s="6" t="inlineStr">
        <is>
          <t>5979 Lakeshore Rd Fort Gratiot Twp, Fort Gratiot, Michigan, 48059</t>
        </is>
      </c>
      <c r="R151" s="6" t="inlineStr">
        <is>
          <t>Jason Whateley, MD (1 ortho)</t>
        </is>
      </c>
      <c r="S151" s="6" t="inlineStr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</row>
    <row r="152">
      <c r="A152" s="6" t="inlineStr">
        <is>
          <t>Croswell Clinic - McKenzie Health System</t>
        </is>
      </c>
      <c r="B152" s="6" t="inlineStr">
        <is>
          <t>2ac1e0f1-866e-4ffa-a132-1099d6d87433</t>
        </is>
      </c>
      <c r="C152" s="6" t="inlineStr">
        <is>
          <t>PCP</t>
        </is>
      </c>
      <c r="D152" s="6" t="inlineStr">
        <is>
          <t>Tier 2</t>
        </is>
      </c>
      <c r="E152" s="6" t="inlineStr">
        <is>
          <t>Ortho Referrer</t>
        </is>
      </c>
      <c r="F152" s="6" t="n">
        <v>46</v>
      </c>
      <c r="G152" s="6" t="n">
        <v>0</v>
      </c>
      <c r="H152" s="6" t="inlineStr">
        <is>
          <t>1</t>
        </is>
      </c>
      <c r="I152" s="6" t="inlineStr">
        <is>
          <t>1</t>
        </is>
      </c>
      <c r="J152" s="6" t="inlineStr">
        <is>
          <t>2026-03-31</t>
        </is>
      </c>
      <c r="K152" s="6" t="inlineStr">
        <is>
          <t>2026-06-09</t>
        </is>
      </c>
      <c r="L152" s="6" t="inlineStr">
        <is>
          <t>37</t>
        </is>
      </c>
      <c r="M152" s="6" t="inlineStr">
        <is>
          <t>12</t>
        </is>
      </c>
      <c r="N152" s="6" t="inlineStr">
        <is>
          <t>21</t>
        </is>
      </c>
      <c r="O152" s="6" t="inlineStr">
        <is>
          <t>K-D18</t>
        </is>
      </c>
      <c r="P152" s="6" t="inlineStr">
        <is>
          <t>Croswell</t>
        </is>
      </c>
      <c r="Q152" s="6" t="inlineStr">
        <is>
          <t>8 N Howard Ave, Croswell, Michigan, 48422</t>
        </is>
      </c>
      <c r="R152" s="6" t="inlineStr">
        <is>
          <t>Matthew Gormley, MD (1 ortho)</t>
        </is>
      </c>
      <c r="S152" s="6" t="inlineStr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>
      <c r="A153" s="6" t="inlineStr">
        <is>
          <t>Neil King Physical Therapy</t>
        </is>
      </c>
      <c r="B153" s="6" t="inlineStr">
        <is>
          <t>01-484-0595</t>
        </is>
      </c>
      <c r="C153" s="6" t="inlineStr">
        <is>
          <t>PT</t>
        </is>
      </c>
      <c r="D153" s="6" t="inlineStr">
        <is>
          <t>Tier 2</t>
        </is>
      </c>
      <c r="E153" s="6" t="inlineStr">
        <is>
          <t>Ortho Referrer</t>
        </is>
      </c>
      <c r="F153" s="6" t="n">
        <v>45</v>
      </c>
      <c r="G153" s="6" t="n">
        <v>0</v>
      </c>
      <c r="H153" s="6" t="inlineStr">
        <is>
          <t>1</t>
        </is>
      </c>
      <c r="I153" s="6" t="inlineStr">
        <is>
          <t>1</t>
        </is>
      </c>
      <c r="J153" s="6" t="inlineStr">
        <is>
          <t>2026-04-13</t>
        </is>
      </c>
      <c r="K153" s="6" t="inlineStr">
        <is>
          <t>2026-06-08</t>
        </is>
      </c>
      <c r="L153" s="6" t="inlineStr">
        <is>
          <t>38</t>
        </is>
      </c>
      <c r="M153" s="6" t="inlineStr">
        <is>
          <t>18</t>
        </is>
      </c>
      <c r="N153" s="6" t="inlineStr">
        <is>
          <t>21</t>
        </is>
      </c>
      <c r="O153" s="6" t="inlineStr">
        <is>
          <t>K-D04</t>
        </is>
      </c>
      <c r="P153" s="6" t="inlineStr">
        <is>
          <t>Rochester Hills</t>
        </is>
      </c>
      <c r="Q153" s="6" t="inlineStr">
        <is>
          <t>141 Hampton Cir, Rochester Hills, MI, 48307-4103</t>
        </is>
      </c>
      <c r="R153" s="6" t="inlineStr">
        <is>
          <t>Jordan Tomei D, PT (1 ortho)</t>
        </is>
      </c>
      <c r="S153" s="6" t="inlineStr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</row>
    <row r="154">
      <c r="A154" s="6" t="inlineStr">
        <is>
          <t>Limitless Physical Therapy and Performance</t>
        </is>
      </c>
      <c r="B154" s="6" t="inlineStr">
        <is>
          <t>b674ee01-88b6-42e2-8d45-e1de4891ab56</t>
        </is>
      </c>
      <c r="C154" s="6" t="inlineStr">
        <is>
          <t>PT</t>
        </is>
      </c>
      <c r="D154" s="6" t="inlineStr">
        <is>
          <t>Tier 2</t>
        </is>
      </c>
      <c r="E154" s="6" t="inlineStr">
        <is>
          <t>Ortho Referrer</t>
        </is>
      </c>
      <c r="F154" s="6" t="n">
        <v>45</v>
      </c>
      <c r="G154" s="6" t="n">
        <v>0</v>
      </c>
      <c r="H154" s="6" t="inlineStr">
        <is>
          <t>1</t>
        </is>
      </c>
      <c r="I154" s="6" t="inlineStr">
        <is>
          <t>1</t>
        </is>
      </c>
      <c r="J154" s="6" t="inlineStr">
        <is>
          <t>2026-06-16</t>
        </is>
      </c>
      <c r="K154" s="6" t="inlineStr">
        <is>
          <t>2026-06-10</t>
        </is>
      </c>
      <c r="L154" s="6" t="inlineStr">
        <is>
          <t>36</t>
        </is>
      </c>
      <c r="M154" s="6" t="inlineStr">
        <is>
          <t>6</t>
        </is>
      </c>
      <c r="N154" s="6" t="inlineStr">
        <is>
          <t>21</t>
        </is>
      </c>
      <c r="O154" s="6" t="inlineStr">
        <is>
          <t>K-D09</t>
        </is>
      </c>
      <c r="P154" s="6" t="inlineStr">
        <is>
          <t>Rochester</t>
        </is>
      </c>
      <c r="Q154" s="6" t="inlineStr">
        <is>
          <t>1136 S  Rd suite c Rochester, Rochester, Michigan, 48307</t>
        </is>
      </c>
      <c r="R154" s="6" t="inlineStr">
        <is>
          <t>Seth King D, PT (1 ortho)</t>
        </is>
      </c>
      <c r="S154" s="6" t="inlineStr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>
      <c r="A155" s="6" t="inlineStr">
        <is>
          <t>WEST BLOOMFIELD INTERNAL MEDICINE, PLLC</t>
        </is>
      </c>
      <c r="B155" s="6" t="inlineStr">
        <is>
          <t>edf56788-9b9d-4f4d-a93a-59a09f7cb794</t>
        </is>
      </c>
      <c r="C155" s="6" t="inlineStr">
        <is>
          <t>PCP</t>
        </is>
      </c>
      <c r="D155" s="6" t="inlineStr">
        <is>
          <t>Tier 2</t>
        </is>
      </c>
      <c r="E155" s="6" t="inlineStr">
        <is>
          <t>Ortho Referrer</t>
        </is>
      </c>
      <c r="F155" s="6" t="n">
        <v>45</v>
      </c>
      <c r="G155" s="6" t="n">
        <v>0</v>
      </c>
      <c r="H155" s="6" t="inlineStr">
        <is>
          <t>1</t>
        </is>
      </c>
      <c r="I155" s="6" t="inlineStr">
        <is>
          <t>2</t>
        </is>
      </c>
      <c r="J155" s="6" t="inlineStr">
        <is>
          <t>2026-03-27</t>
        </is>
      </c>
      <c r="K155" s="6" t="inlineStr">
        <is>
          <t>2026-05-07</t>
        </is>
      </c>
      <c r="L155" s="6" t="inlineStr">
        <is>
          <t>70</t>
        </is>
      </c>
      <c r="M155" s="6" t="inlineStr">
        <is>
          <t>53.5</t>
        </is>
      </c>
      <c r="N155" s="6" t="inlineStr">
        <is>
          <t>21</t>
        </is>
      </c>
      <c r="O155" s="6" t="inlineStr">
        <is>
          <t>K-D11</t>
        </is>
      </c>
      <c r="P155" s="6" t="inlineStr">
        <is>
          <t>WEST BLOOMFIELD</t>
        </is>
      </c>
      <c r="Q155" s="6" t="inlineStr">
        <is>
          <t>6014 W MAPLE RD, WEST BLOOMFIELD, Michigan, MI 48322</t>
        </is>
      </c>
      <c r="R155" s="6" t="inlineStr">
        <is>
          <t>James Bragman, DO (1 ortho)</t>
        </is>
      </c>
      <c r="S155" s="6" t="inlineStr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</row>
    <row r="156">
      <c r="A156" s="6" t="inlineStr">
        <is>
          <t>WELL BEING PEDIATRICS</t>
        </is>
      </c>
      <c r="B156" s="6" t="inlineStr">
        <is>
          <t>e5e6ea92-d9c9-49c0-b1f3-b645b04e1adb</t>
        </is>
      </c>
      <c r="C156" s="6" t="inlineStr">
        <is>
          <t>Pediatrics</t>
        </is>
      </c>
      <c r="D156" s="6" t="inlineStr">
        <is>
          <t>Tier 2</t>
        </is>
      </c>
      <c r="E156" s="6" t="inlineStr">
        <is>
          <t>Ortho Referrer</t>
        </is>
      </c>
      <c r="F156" s="6" t="n">
        <v>45</v>
      </c>
      <c r="G156" s="6" t="n">
        <v>0</v>
      </c>
      <c r="H156" s="6" t="inlineStr">
        <is>
          <t>1</t>
        </is>
      </c>
      <c r="I156" s="6" t="inlineStr">
        <is>
          <t>1</t>
        </is>
      </c>
      <c r="J156" s="6" t="inlineStr">
        <is>
          <t>2026-04-24</t>
        </is>
      </c>
      <c r="K156" s="6" t="inlineStr">
        <is>
          <t>2026-06-01</t>
        </is>
      </c>
      <c r="L156" s="6" t="inlineStr">
        <is>
          <t>45</t>
        </is>
      </c>
      <c r="M156" s="6" t="inlineStr">
        <is>
          <t>35</t>
        </is>
      </c>
      <c r="N156" s="6" t="inlineStr">
        <is>
          <t>21</t>
        </is>
      </c>
      <c r="O156" s="6" t="inlineStr">
        <is>
          <t>K-D14</t>
        </is>
      </c>
      <c r="P156" s="6" t="inlineStr">
        <is>
          <t>NOVI</t>
        </is>
      </c>
      <c r="Q156" s="6" t="inlineStr">
        <is>
          <t>46325 W 12 MILE RD STE 240, NOVI, Michigan</t>
        </is>
      </c>
      <c r="R156" s="6" t="inlineStr">
        <is>
          <t>Seth Forman, MD (1 ortho)</t>
        </is>
      </c>
      <c r="S156" s="6" t="inlineStr">
        <is>
          <t>Pediatric (Jul 20 rule) → Review for removal</t>
        </is>
      </c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>
      <c r="A157" s="6" t="inlineStr">
        <is>
          <t>Team Rehab - SMA Bloomfield Hills</t>
        </is>
      </c>
      <c r="B157" s="6" t="inlineStr">
        <is>
          <t>6185c99b-b972-4582-aac1-b784f9730bb5</t>
        </is>
      </c>
      <c r="C157" s="6" t="inlineStr">
        <is>
          <t>PT</t>
        </is>
      </c>
      <c r="D157" s="6" t="inlineStr">
        <is>
          <t>Tier 2</t>
        </is>
      </c>
      <c r="E157" s="6" t="inlineStr">
        <is>
          <t>Ortho Referrer</t>
        </is>
      </c>
      <c r="F157" s="6" t="n">
        <v>44</v>
      </c>
      <c r="G157" s="6" t="n">
        <v>0</v>
      </c>
      <c r="H157" s="6" t="inlineStr">
        <is>
          <t>1</t>
        </is>
      </c>
      <c r="I157" s="6" t="inlineStr">
        <is>
          <t>1</t>
        </is>
      </c>
      <c r="J157" s="6" t="inlineStr">
        <is>
          <t>2026-02-06</t>
        </is>
      </c>
      <c r="K157" s="6" t="inlineStr">
        <is>
          <t>2026-05-06</t>
        </is>
      </c>
      <c r="L157" s="6" t="inlineStr">
        <is>
          <t>71</t>
        </is>
      </c>
      <c r="M157" s="6" t="n">
        <v/>
      </c>
      <c r="N157" s="6" t="inlineStr">
        <is>
          <t>21</t>
        </is>
      </c>
      <c r="O157" s="6" t="inlineStr">
        <is>
          <t>K-D09</t>
        </is>
      </c>
      <c r="P157" s="6" t="n">
        <v/>
      </c>
      <c r="Q157" s="6" t="inlineStr">
        <is>
          <t>36880 Woodward Ave Bloomfield Township, Michigan, 48304</t>
        </is>
      </c>
      <c r="R157" s="6" t="inlineStr">
        <is>
          <t>Lorenzo Dipace D, PT (1 ortho)</t>
        </is>
      </c>
      <c r="S157" s="6" t="inlineStr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</row>
    <row r="158">
      <c r="A158" s="6" t="inlineStr">
        <is>
          <t>Kids First Pediatrics</t>
        </is>
      </c>
      <c r="B158" s="6" t="inlineStr">
        <is>
          <t>1235164872</t>
        </is>
      </c>
      <c r="C158" s="6" t="inlineStr">
        <is>
          <t>Other / Verify</t>
        </is>
      </c>
      <c r="D158" s="6" t="inlineStr">
        <is>
          <t>Tier 2</t>
        </is>
      </c>
      <c r="E158" s="6" t="inlineStr">
        <is>
          <t>Ortho Referrer</t>
        </is>
      </c>
      <c r="F158" s="6" t="n">
        <v>43</v>
      </c>
      <c r="G158" s="6" t="n">
        <v>0</v>
      </c>
      <c r="H158" s="6" t="inlineStr">
        <is>
          <t>1</t>
        </is>
      </c>
      <c r="I158" s="6" t="inlineStr">
        <is>
          <t>1</t>
        </is>
      </c>
      <c r="J158" s="6" t="inlineStr">
        <is>
          <t>2026-01-06</t>
        </is>
      </c>
      <c r="K158" s="6" t="inlineStr">
        <is>
          <t>2026-05-12</t>
        </is>
      </c>
      <c r="L158" s="6" t="inlineStr">
        <is>
          <t>65</t>
        </is>
      </c>
      <c r="M158" s="6" t="inlineStr">
        <is>
          <t>27</t>
        </is>
      </c>
      <c r="N158" s="6" t="inlineStr">
        <is>
          <t>21</t>
        </is>
      </c>
      <c r="O158" s="6" t="inlineStr">
        <is>
          <t>K-D06</t>
        </is>
      </c>
      <c r="P158" s="6" t="inlineStr">
        <is>
          <t>Hazel Park</t>
        </is>
      </c>
      <c r="Q158" s="6" t="inlineStr">
        <is>
          <t>350 East 9 Mile Rd, Hazel Park, Michigan, 480301842</t>
        </is>
      </c>
      <c r="R158" s="6" t="inlineStr">
        <is>
          <t>Ami Hatta, MD (1 ortho)</t>
        </is>
      </c>
      <c r="S158" s="6" t="inlineStr">
        <is>
          <t>Pediatric (Jul 20 rule) → Review for removal</t>
        </is>
      </c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>
      <c r="A159" s="6" t="inlineStr">
        <is>
          <t>Berry Johnson Health</t>
        </is>
      </c>
      <c r="B159" s="6" t="inlineStr">
        <is>
          <t>1134320930</t>
        </is>
      </c>
      <c r="C159" s="6" t="inlineStr">
        <is>
          <t>PCP</t>
        </is>
      </c>
      <c r="D159" s="6" t="inlineStr">
        <is>
          <t>Tier 3</t>
        </is>
      </c>
      <c r="E159" s="6" t="inlineStr">
        <is>
          <t>Other Patient Referrer</t>
        </is>
      </c>
      <c r="F159" s="6" t="n">
        <v>33</v>
      </c>
      <c r="G159" s="6" t="n">
        <v>0</v>
      </c>
      <c r="H159" s="6" t="inlineStr">
        <is>
          <t>0</t>
        </is>
      </c>
      <c r="I159" s="6" t="inlineStr">
        <is>
          <t>14</t>
        </is>
      </c>
      <c r="J159" s="6" t="inlineStr">
        <is>
          <t>2026-07-07</t>
        </is>
      </c>
      <c r="K159" s="6" t="inlineStr">
        <is>
          <t>2026-05-27</t>
        </is>
      </c>
      <c r="L159" s="6" t="inlineStr">
        <is>
          <t>50</t>
        </is>
      </c>
      <c r="M159" s="6" t="inlineStr">
        <is>
          <t>44</t>
        </is>
      </c>
      <c r="N159" s="6" t="inlineStr">
        <is>
          <t>30</t>
        </is>
      </c>
      <c r="O159" s="6" t="inlineStr">
        <is>
          <t>K-D03</t>
        </is>
      </c>
      <c r="P159" s="6" t="inlineStr">
        <is>
          <t>Southfield</t>
        </is>
      </c>
      <c r="Q159" s="6" t="inlineStr">
        <is>
          <t>26400 West 12 Mile Road, Southfield, Michigan, 48034</t>
        </is>
      </c>
      <c r="R159" s="6" t="inlineStr">
        <is>
          <t>Neesha R Berry, MD · Nijuanna Irby- Johnson, MD</t>
        </is>
      </c>
      <c r="S159" s="6" t="inlineStr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</row>
    <row r="160">
      <c r="A160" s="6" t="inlineStr">
        <is>
          <t>Internal Medicine Physicians #170</t>
        </is>
      </c>
      <c r="B160" s="6" t="inlineStr">
        <is>
          <t>b2c94565-78b1-460d-a80d-4d507a1ddb7d</t>
        </is>
      </c>
      <c r="C160" s="6" t="inlineStr">
        <is>
          <t>PCP</t>
        </is>
      </c>
      <c r="D160" s="6" t="inlineStr">
        <is>
          <t>Tier 3</t>
        </is>
      </c>
      <c r="E160" s="6" t="inlineStr">
        <is>
          <t>Other Patient Referrer</t>
        </is>
      </c>
      <c r="F160" s="6" t="n">
        <v>26</v>
      </c>
      <c r="G160" s="6" t="n">
        <v>0</v>
      </c>
      <c r="H160" s="6" t="inlineStr">
        <is>
          <t>0</t>
        </is>
      </c>
      <c r="I160" s="6" t="inlineStr">
        <is>
          <t>3</t>
        </is>
      </c>
      <c r="J160" s="6" t="inlineStr">
        <is>
          <t>2026-06-10</t>
        </is>
      </c>
      <c r="K160" s="6" t="inlineStr">
        <is>
          <t>2026-05-08</t>
        </is>
      </c>
      <c r="L160" s="6" t="inlineStr">
        <is>
          <t>69</t>
        </is>
      </c>
      <c r="M160" s="6" t="inlineStr">
        <is>
          <t>33</t>
        </is>
      </c>
      <c r="N160" s="6" t="inlineStr">
        <is>
          <t>30</t>
        </is>
      </c>
      <c r="O160" s="6" t="inlineStr">
        <is>
          <t>K-D03</t>
        </is>
      </c>
      <c r="P160" s="6" t="inlineStr">
        <is>
          <t>FARMINGTON HILLS</t>
        </is>
      </c>
      <c r="Q160" s="6" t="inlineStr">
        <is>
          <t>32255 NORTHWESTERN HWY STE 170, FARMINGTON HILLS, MI, 48334</t>
        </is>
      </c>
      <c r="R160" s="6" t="inlineStr">
        <is>
          <t>Mitchell Klausner, MD · Barry M Moss, MD</t>
        </is>
      </c>
      <c r="S160" s="6" t="inlineStr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>
      <c r="A161" s="6" t="inlineStr">
        <is>
          <t>MEDICAL CENTER PEDIATRICS, PLLC</t>
        </is>
      </c>
      <c r="B161" s="6" t="inlineStr">
        <is>
          <t>137b9944-574d-47c1-9f8c-99541123fc30</t>
        </is>
      </c>
      <c r="C161" s="6" t="inlineStr">
        <is>
          <t>Pediatrics</t>
        </is>
      </c>
      <c r="D161" s="6" t="inlineStr">
        <is>
          <t>Tier 3</t>
        </is>
      </c>
      <c r="E161" s="6" t="inlineStr">
        <is>
          <t>Other Patient Referrer</t>
        </is>
      </c>
      <c r="F161" s="6" t="n">
        <v>23</v>
      </c>
      <c r="G161" s="6" t="n">
        <v>0</v>
      </c>
      <c r="H161" s="6" t="inlineStr">
        <is>
          <t>0</t>
        </is>
      </c>
      <c r="I161" s="6" t="inlineStr">
        <is>
          <t>1</t>
        </is>
      </c>
      <c r="J161" s="6" t="inlineStr">
        <is>
          <t>2026-05-07</t>
        </is>
      </c>
      <c r="K161" s="6" t="inlineStr">
        <is>
          <t>2026-07-08</t>
        </is>
      </c>
      <c r="L161" s="6" t="inlineStr">
        <is>
          <t>8</t>
        </is>
      </c>
      <c r="M161" s="6" t="inlineStr">
        <is>
          <t>10</t>
        </is>
      </c>
      <c r="N161" s="6" t="inlineStr">
        <is>
          <t>30</t>
        </is>
      </c>
      <c r="O161" s="6" t="inlineStr">
        <is>
          <t>K-D10</t>
        </is>
      </c>
      <c r="P161" s="6" t="inlineStr">
        <is>
          <t>BINGHAM FARMS</t>
        </is>
      </c>
      <c r="Q161" s="6" t="inlineStr">
        <is>
          <t>30400 TELEGRAPH RD STE 101, BINGHAM FARMS, Michigan</t>
        </is>
      </c>
      <c r="R161" s="6" t="inlineStr">
        <is>
          <t>Denise Lippitt, MD</t>
        </is>
      </c>
      <c r="S161" s="6" t="inlineStr">
        <is>
          <t>Pediatric (Jul 20 rule) → Review for removal</t>
        </is>
      </c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</row>
    <row r="162">
      <c r="A162" s="6" t="inlineStr">
        <is>
          <t>Henry Ford Orthopedics &amp; Sports Medicine - Chesterfield</t>
        </is>
      </c>
      <c r="B162" s="6" t="inlineStr">
        <is>
          <t>0200933e-44d0-4869-8ddd-cd02b601b866</t>
        </is>
      </c>
      <c r="C162" s="6" t="inlineStr">
        <is>
          <t>Orthopedic</t>
        </is>
      </c>
      <c r="D162" s="6" t="inlineStr">
        <is>
          <t>Tier 3</t>
        </is>
      </c>
      <c r="E162" s="6" t="inlineStr">
        <is>
          <t>Other Patient Referrer</t>
        </is>
      </c>
      <c r="F162" s="6" t="n">
        <v>23</v>
      </c>
      <c r="G162" s="6" t="n">
        <v>0</v>
      </c>
      <c r="H162" s="6" t="inlineStr">
        <is>
          <t>0</t>
        </is>
      </c>
      <c r="I162" s="6" t="inlineStr">
        <is>
          <t>1</t>
        </is>
      </c>
      <c r="J162" s="6" t="inlineStr">
        <is>
          <t>2026-04-02</t>
        </is>
      </c>
      <c r="K162" s="6" t="inlineStr">
        <is>
          <t>2026-06-09</t>
        </is>
      </c>
      <c r="L162" s="6" t="inlineStr">
        <is>
          <t>37</t>
        </is>
      </c>
      <c r="M162" s="6" t="inlineStr">
        <is>
          <t>10</t>
        </is>
      </c>
      <c r="N162" s="6" t="inlineStr">
        <is>
          <t>30</t>
        </is>
      </c>
      <c r="O162" s="6" t="inlineStr">
        <is>
          <t>K-D15</t>
        </is>
      </c>
      <c r="P162" s="6" t="inlineStr">
        <is>
          <t>New Baltimore</t>
        </is>
      </c>
      <c r="Q162" s="6" t="inlineStr">
        <is>
          <t>36750 26 Mile Rd, ste 140, New Baltimore, Michigan, 48047</t>
        </is>
      </c>
      <c r="R162" s="6" t="inlineStr">
        <is>
          <t>Sanar Yokhana, MD</t>
        </is>
      </c>
      <c r="S162" s="6" t="inlineStr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>
      <c r="A163" s="6" t="inlineStr">
        <is>
          <t>Corwell Health - Farmington</t>
        </is>
      </c>
      <c r="B163" s="6" t="inlineStr">
        <is>
          <t>7b335c19-3210-419e-888b-e9aabe43f40a</t>
        </is>
      </c>
      <c r="C163" s="6" t="inlineStr">
        <is>
          <t>PCP</t>
        </is>
      </c>
      <c r="D163" s="6" t="inlineStr">
        <is>
          <t>Tier 3</t>
        </is>
      </c>
      <c r="E163" s="6" t="inlineStr">
        <is>
          <t>Other Patient Referrer</t>
        </is>
      </c>
      <c r="F163" s="6" t="n">
        <v>22</v>
      </c>
      <c r="G163" s="6" t="n">
        <v>0</v>
      </c>
      <c r="H163" s="6" t="inlineStr">
        <is>
          <t>0</t>
        </is>
      </c>
      <c r="I163" s="6" t="inlineStr">
        <is>
          <t>1</t>
        </is>
      </c>
      <c r="J163" s="6" t="inlineStr">
        <is>
          <t>2026-06-12</t>
        </is>
      </c>
      <c r="K163" s="6" t="inlineStr">
        <is>
          <t>2026-05-11</t>
        </is>
      </c>
      <c r="L163" s="6" t="inlineStr">
        <is>
          <t>66</t>
        </is>
      </c>
      <c r="M163" s="6" t="inlineStr">
        <is>
          <t>32</t>
        </is>
      </c>
      <c r="N163" s="6" t="inlineStr">
        <is>
          <t>30</t>
        </is>
      </c>
      <c r="O163" s="6" t="inlineStr">
        <is>
          <t>K-D02</t>
        </is>
      </c>
      <c r="P163" s="6" t="inlineStr">
        <is>
          <t>Farmington</t>
        </is>
      </c>
      <c r="Q163" s="6" t="inlineStr">
        <is>
          <t>32754 Grand River Ave, Farmington, Michigan, 48336</t>
        </is>
      </c>
      <c r="R163" s="6" t="inlineStr">
        <is>
          <t>Snezhana Tuxhari, DO</t>
        </is>
      </c>
      <c r="S163" s="6" t="inlineStr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</row>
    <row r="164">
      <c r="A164" s="6" t="inlineStr">
        <is>
          <t>Corewell Urgent Care - Royal Oak</t>
        </is>
      </c>
      <c r="B164" s="6" t="inlineStr">
        <is>
          <t>0705419c-d214-479c-befc-96609a540921</t>
        </is>
      </c>
      <c r="C164" s="6" t="inlineStr">
        <is>
          <t>Urgent Care</t>
        </is>
      </c>
      <c r="D164" s="6" t="inlineStr">
        <is>
          <t>Tier 3</t>
        </is>
      </c>
      <c r="E164" s="6" t="inlineStr">
        <is>
          <t>Other Patient Referrer</t>
        </is>
      </c>
      <c r="F164" s="6" t="n">
        <v>22</v>
      </c>
      <c r="G164" s="6" t="n">
        <v>0</v>
      </c>
      <c r="H164" s="6" t="inlineStr">
        <is>
          <t>0</t>
        </is>
      </c>
      <c r="I164" s="6" t="inlineStr">
        <is>
          <t>1</t>
        </is>
      </c>
      <c r="J164" s="6" t="inlineStr">
        <is>
          <t>2026-06-15</t>
        </is>
      </c>
      <c r="K164" s="6" t="inlineStr">
        <is>
          <t>2026-05-21</t>
        </is>
      </c>
      <c r="L164" s="6" t="inlineStr">
        <is>
          <t>56</t>
        </is>
      </c>
      <c r="M164" s="6" t="inlineStr">
        <is>
          <t>25</t>
        </is>
      </c>
      <c r="N164" s="6" t="inlineStr">
        <is>
          <t>30</t>
        </is>
      </c>
      <c r="O164" s="6" t="inlineStr">
        <is>
          <t>K-D06</t>
        </is>
      </c>
      <c r="P164" s="6" t="inlineStr">
        <is>
          <t>Royal Oak</t>
        </is>
      </c>
      <c r="Q164" s="6" t="inlineStr">
        <is>
          <t>309 E Eleven Mile Rd ste a, Royal Oak, Michigan, 48067</t>
        </is>
      </c>
      <c r="R164" s="6" t="inlineStr">
        <is>
          <t>Corewell Urgent Care Royal Oak</t>
        </is>
      </c>
      <c r="S164" s="6" t="inlineStr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>
      <c r="A165" s="6" t="inlineStr">
        <is>
          <t>Commerce Internal Medicine</t>
        </is>
      </c>
      <c r="B165" s="6" t="inlineStr">
        <is>
          <t>4d1d555f-aa98-48e9-b9a2-d323e87d5745</t>
        </is>
      </c>
      <c r="C165" s="6" t="inlineStr">
        <is>
          <t>PCP</t>
        </is>
      </c>
      <c r="D165" s="6" t="inlineStr">
        <is>
          <t>Tier 3</t>
        </is>
      </c>
      <c r="E165" s="6" t="inlineStr">
        <is>
          <t>Other Patient Referrer</t>
        </is>
      </c>
      <c r="F165" s="6" t="n">
        <v>22</v>
      </c>
      <c r="G165" s="6" t="n">
        <v>0</v>
      </c>
      <c r="H165" s="6" t="inlineStr">
        <is>
          <t>0</t>
        </is>
      </c>
      <c r="I165" s="6" t="inlineStr">
        <is>
          <t>1</t>
        </is>
      </c>
      <c r="J165" s="6" t="inlineStr">
        <is>
          <t>2026-01-07</t>
        </is>
      </c>
      <c r="K165" s="6" t="inlineStr">
        <is>
          <t>2026-05-26</t>
        </is>
      </c>
      <c r="L165" s="6" t="inlineStr">
        <is>
          <t>51</t>
        </is>
      </c>
      <c r="M165" s="6" t="inlineStr">
        <is>
          <t>19</t>
        </is>
      </c>
      <c r="N165" s="6" t="inlineStr">
        <is>
          <t>30</t>
        </is>
      </c>
      <c r="O165" s="6" t="inlineStr">
        <is>
          <t>K-D07</t>
        </is>
      </c>
      <c r="P165" s="6" t="inlineStr">
        <is>
          <t>Commerce Charter Township</t>
        </is>
      </c>
      <c r="Q165" s="6" t="inlineStr">
        <is>
          <t>9640 Commerce Road, Commerce Charter Township, Michigan, 48382</t>
        </is>
      </c>
      <c r="R165" s="6" t="inlineStr">
        <is>
          <t>Norman Markowitz</t>
        </is>
      </c>
      <c r="S165" s="6" t="inlineStr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</row>
    <row r="166">
      <c r="A166" s="6" t="inlineStr">
        <is>
          <t>Rochester Primary Care</t>
        </is>
      </c>
      <c r="B166" s="6" t="inlineStr">
        <is>
          <t>52b21544-4438-4ade-810b-2ce607128ed8</t>
        </is>
      </c>
      <c r="C166" s="6" t="inlineStr">
        <is>
          <t>PCP</t>
        </is>
      </c>
      <c r="D166" s="6" t="inlineStr">
        <is>
          <t>Tier 3</t>
        </is>
      </c>
      <c r="E166" s="6" t="inlineStr">
        <is>
          <t>Other Patient Referrer</t>
        </is>
      </c>
      <c r="F166" s="6" t="n">
        <v>22</v>
      </c>
      <c r="G166" s="6" t="n">
        <v>0</v>
      </c>
      <c r="H166" s="6" t="inlineStr">
        <is>
          <t>0</t>
        </is>
      </c>
      <c r="I166" s="6" t="inlineStr">
        <is>
          <t>1</t>
        </is>
      </c>
      <c r="J166" s="6" t="inlineStr">
        <is>
          <t>2026-03-19</t>
        </is>
      </c>
      <c r="K166" s="6" t="inlineStr">
        <is>
          <t>2026-06-10</t>
        </is>
      </c>
      <c r="L166" s="6" t="inlineStr">
        <is>
          <t>36</t>
        </is>
      </c>
      <c r="M166" s="6" t="inlineStr">
        <is>
          <t>58</t>
        </is>
      </c>
      <c r="N166" s="6" t="inlineStr">
        <is>
          <t>30</t>
        </is>
      </c>
      <c r="O166" s="6" t="inlineStr">
        <is>
          <t>K-D09</t>
        </is>
      </c>
      <c r="P166" s="6" t="inlineStr">
        <is>
          <t>Rochester Hills</t>
        </is>
      </c>
      <c r="Q166" s="6" t="inlineStr">
        <is>
          <t>1349 South Rochester Road, ste 100, Rochester Hills, Michigan, 48307</t>
        </is>
      </c>
      <c r="R166" s="6" t="inlineStr">
        <is>
          <t>Steffanie Schwutke, MD</t>
        </is>
      </c>
      <c r="S166" s="6" t="inlineStr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>
      <c r="A167" s="6" t="inlineStr">
        <is>
          <t>SOUTH EAST MICHIGAN MEDICAL ASSOCIATES, PC</t>
        </is>
      </c>
      <c r="B167" s="6" t="inlineStr">
        <is>
          <t>84cae8c7-dbdf-450b-836e-557d4c653f98</t>
        </is>
      </c>
      <c r="C167" s="6" t="inlineStr">
        <is>
          <t>PCP</t>
        </is>
      </c>
      <c r="D167" s="6" t="inlineStr">
        <is>
          <t>Tier 3</t>
        </is>
      </c>
      <c r="E167" s="6" t="inlineStr">
        <is>
          <t>Other Patient Referrer</t>
        </is>
      </c>
      <c r="F167" s="6" t="n">
        <v>22</v>
      </c>
      <c r="G167" s="6" t="n">
        <v>0</v>
      </c>
      <c r="H167" s="6" t="inlineStr">
        <is>
          <t>0</t>
        </is>
      </c>
      <c r="I167" s="6" t="inlineStr">
        <is>
          <t>1</t>
        </is>
      </c>
      <c r="J167" s="6" t="inlineStr">
        <is>
          <t>2026-06-16</t>
        </is>
      </c>
      <c r="K167" s="6" t="inlineStr">
        <is>
          <t>2026-06-01</t>
        </is>
      </c>
      <c r="L167" s="6" t="inlineStr">
        <is>
          <t>45</t>
        </is>
      </c>
      <c r="M167" s="6" t="inlineStr">
        <is>
          <t>15</t>
        </is>
      </c>
      <c r="N167" s="6" t="inlineStr">
        <is>
          <t>30</t>
        </is>
      </c>
      <c r="O167" s="6" t="inlineStr">
        <is>
          <t>K-D10</t>
        </is>
      </c>
      <c r="P167" s="6" t="inlineStr">
        <is>
          <t>LATHRUP VILLAGE</t>
        </is>
      </c>
      <c r="Q167" s="6" t="inlineStr">
        <is>
          <t>18451 W 12 MILE RD STE 200, LATHRUP VILLAGE, Michigan, MI 48076</t>
        </is>
      </c>
      <c r="R167" s="6" t="inlineStr">
        <is>
          <t>Abu Fazal Shaik Mohammed, MD</t>
        </is>
      </c>
      <c r="S167" s="6" t="inlineStr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</row>
    <row r="168">
      <c r="A168" s="6" t="inlineStr">
        <is>
          <t>Internal Medicine Specialists</t>
        </is>
      </c>
      <c r="B168" s="6" t="inlineStr">
        <is>
          <t>e37d14fb-2eea-4cb1-8957-ff0081af7ed5</t>
        </is>
      </c>
      <c r="C168" s="6" t="inlineStr">
        <is>
          <t>PCP</t>
        </is>
      </c>
      <c r="D168" s="6" t="inlineStr">
        <is>
          <t>Tier 3</t>
        </is>
      </c>
      <c r="E168" s="6" t="inlineStr">
        <is>
          <t>Other Patient Referrer</t>
        </is>
      </c>
      <c r="F168" s="6" t="n">
        <v>22</v>
      </c>
      <c r="G168" s="6" t="n">
        <v>0</v>
      </c>
      <c r="H168" s="6" t="inlineStr">
        <is>
          <t>0</t>
        </is>
      </c>
      <c r="I168" s="6" t="inlineStr">
        <is>
          <t>1</t>
        </is>
      </c>
      <c r="J168" s="6" t="inlineStr">
        <is>
          <t>2026-05-01</t>
        </is>
      </c>
      <c r="K168" s="6" t="inlineStr">
        <is>
          <t>2026-05-07</t>
        </is>
      </c>
      <c r="L168" s="6" t="inlineStr">
        <is>
          <t>70</t>
        </is>
      </c>
      <c r="M168" s="6" t="inlineStr">
        <is>
          <t>78</t>
        </is>
      </c>
      <c r="N168" s="6" t="inlineStr">
        <is>
          <t>30</t>
        </is>
      </c>
      <c r="O168" s="6" t="inlineStr">
        <is>
          <t>K-D11</t>
        </is>
      </c>
      <c r="P168" s="6" t="inlineStr">
        <is>
          <t>West Bloomfield Township</t>
        </is>
      </c>
      <c r="Q168" s="6" t="inlineStr">
        <is>
          <t>5821 W Maple Rd suite 190, West Bloomfield Township, Michigan, 48322</t>
        </is>
      </c>
      <c r="R168" s="6" t="inlineStr">
        <is>
          <t>Michael Feldman, MD</t>
        </is>
      </c>
      <c r="S168" s="6" t="inlineStr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>
      <c r="A169" s="6" t="inlineStr">
        <is>
          <t>Associates in Internal Medicine - MHP</t>
        </is>
      </c>
      <c r="B169" s="6" t="inlineStr">
        <is>
          <t>1639309131</t>
        </is>
      </c>
      <c r="C169" s="6" t="inlineStr">
        <is>
          <t>PCP</t>
        </is>
      </c>
      <c r="D169" s="6" t="inlineStr">
        <is>
          <t>Tier 3</t>
        </is>
      </c>
      <c r="E169" s="6" t="inlineStr">
        <is>
          <t>Other Patient Referrer</t>
        </is>
      </c>
      <c r="F169" s="6" t="n">
        <v>22</v>
      </c>
      <c r="G169" s="6" t="n">
        <v>0</v>
      </c>
      <c r="H169" s="6" t="inlineStr">
        <is>
          <t>0</t>
        </is>
      </c>
      <c r="I169" s="6" t="inlineStr">
        <is>
          <t>1</t>
        </is>
      </c>
      <c r="J169" s="6" t="inlineStr">
        <is>
          <t>2026-07-07</t>
        </is>
      </c>
      <c r="K169" s="6" t="inlineStr">
        <is>
          <t>2026-05-07</t>
        </is>
      </c>
      <c r="L169" s="6" t="inlineStr">
        <is>
          <t>70</t>
        </is>
      </c>
      <c r="M169" s="6" t="inlineStr">
        <is>
          <t>61</t>
        </is>
      </c>
      <c r="N169" s="6" t="inlineStr">
        <is>
          <t>30</t>
        </is>
      </c>
      <c r="O169" s="6" t="inlineStr">
        <is>
          <t>K-D11</t>
        </is>
      </c>
      <c r="P169" s="6" t="inlineStr">
        <is>
          <t>West Bloomfield</t>
        </is>
      </c>
      <c r="Q169" s="6" t="inlineStr">
        <is>
          <t>5777 W Maple Rd, Suite 140, West Bloomfield, MI, 483222267</t>
        </is>
      </c>
      <c r="R169" s="6" t="inlineStr">
        <is>
          <t>Tassia Samona, MD</t>
        </is>
      </c>
      <c r="S169" s="6" t="inlineStr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</row>
    <row r="170">
      <c r="A170" s="6" t="inlineStr">
        <is>
          <t>WESTERN WAYNE PHYSICIANS, PLC Allen Park</t>
        </is>
      </c>
      <c r="B170" s="6" t="inlineStr">
        <is>
          <t>300beedb-7326-44cf-8008-29d60d8d78bb</t>
        </is>
      </c>
      <c r="C170" s="6" t="inlineStr">
        <is>
          <t>PCP</t>
        </is>
      </c>
      <c r="D170" s="6" t="inlineStr">
        <is>
          <t>Tier 3</t>
        </is>
      </c>
      <c r="E170" s="6" t="inlineStr">
        <is>
          <t>Other Patient Referrer</t>
        </is>
      </c>
      <c r="F170" s="6" t="n">
        <v>22</v>
      </c>
      <c r="G170" s="6" t="n">
        <v>0</v>
      </c>
      <c r="H170" s="6" t="inlineStr">
        <is>
          <t>0</t>
        </is>
      </c>
      <c r="I170" s="6" t="inlineStr">
        <is>
          <t>1</t>
        </is>
      </c>
      <c r="J170" s="6" t="inlineStr">
        <is>
          <t>2026-02-10</t>
        </is>
      </c>
      <c r="K170" s="6" t="inlineStr">
        <is>
          <t>2026-05-01</t>
        </is>
      </c>
      <c r="L170" s="6" t="inlineStr">
        <is>
          <t>76</t>
        </is>
      </c>
      <c r="M170" s="6" t="inlineStr">
        <is>
          <t>7</t>
        </is>
      </c>
      <c r="N170" s="6" t="inlineStr">
        <is>
          <t>30</t>
        </is>
      </c>
      <c r="O170" s="6" t="inlineStr">
        <is>
          <t>K-D12</t>
        </is>
      </c>
      <c r="P170" s="6" t="inlineStr">
        <is>
          <t>ALLEN PARK</t>
        </is>
      </c>
      <c r="Q170" s="6" t="inlineStr">
        <is>
          <t>8338 ALLEN RD STE 101, ALLEN PARK, MI, 48101</t>
        </is>
      </c>
      <c r="R170" s="6" t="inlineStr">
        <is>
          <t>Patricia Nester, MD</t>
        </is>
      </c>
      <c r="S170" s="6" t="inlineStr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>
      <c r="A171" s="6" t="inlineStr">
        <is>
          <t>WILLIAMS FAMILY AND SPORTS MEDICAL CENTER, PLC</t>
        </is>
      </c>
      <c r="B171" s="6" t="inlineStr">
        <is>
          <t>128e9f0f-8074-4052-b91d-e71905388022</t>
        </is>
      </c>
      <c r="C171" s="6" t="inlineStr">
        <is>
          <t>Orthopedic</t>
        </is>
      </c>
      <c r="D171" s="6" t="inlineStr">
        <is>
          <t>Tier 3</t>
        </is>
      </c>
      <c r="E171" s="6" t="inlineStr">
        <is>
          <t>Other Patient Referrer</t>
        </is>
      </c>
      <c r="F171" s="6" t="n">
        <v>22</v>
      </c>
      <c r="G171" s="6" t="n">
        <v>0</v>
      </c>
      <c r="H171" s="6" t="inlineStr">
        <is>
          <t>0</t>
        </is>
      </c>
      <c r="I171" s="6" t="inlineStr">
        <is>
          <t>1</t>
        </is>
      </c>
      <c r="J171" s="6" t="inlineStr">
        <is>
          <t>2026-06-04</t>
        </is>
      </c>
      <c r="K171" s="6" t="inlineStr">
        <is>
          <t>2026-05-11</t>
        </is>
      </c>
      <c r="L171" s="6" t="inlineStr">
        <is>
          <t>66</t>
        </is>
      </c>
      <c r="M171" s="6" t="inlineStr">
        <is>
          <t>24</t>
        </is>
      </c>
      <c r="N171" s="6" t="inlineStr">
        <is>
          <t>30</t>
        </is>
      </c>
      <c r="O171" s="6" t="inlineStr">
        <is>
          <t>K-D14</t>
        </is>
      </c>
      <c r="P171" s="6" t="inlineStr">
        <is>
          <t>FARMINGTON</t>
        </is>
      </c>
      <c r="Q171" s="6" t="inlineStr">
        <is>
          <t>23366 FARMINGTON RD, FARMINGTON, MI, 48336</t>
        </is>
      </c>
      <c r="R171" s="6" t="inlineStr">
        <is>
          <t>Joseph L Williams, DO</t>
        </is>
      </c>
      <c r="S171" s="6" t="inlineStr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</row>
    <row r="172">
      <c r="A172" s="6" t="inlineStr">
        <is>
          <t>Oakland Physicians</t>
        </is>
      </c>
      <c r="B172" s="6" t="inlineStr">
        <is>
          <t>b7bb574d-993f-4604-9935-c8ab3a113635</t>
        </is>
      </c>
      <c r="C172" s="6" t="inlineStr">
        <is>
          <t>Pediatrics</t>
        </is>
      </c>
      <c r="D172" s="6" t="inlineStr">
        <is>
          <t>Tier 3</t>
        </is>
      </c>
      <c r="E172" s="6" t="inlineStr">
        <is>
          <t>Other Patient Referrer</t>
        </is>
      </c>
      <c r="F172" s="6" t="n">
        <v>21</v>
      </c>
      <c r="G172" s="6" t="n">
        <v>0</v>
      </c>
      <c r="H172" s="6" t="inlineStr">
        <is>
          <t>0</t>
        </is>
      </c>
      <c r="I172" s="6" t="inlineStr">
        <is>
          <t>1</t>
        </is>
      </c>
      <c r="J172" s="6" t="inlineStr">
        <is>
          <t>2026-05-22</t>
        </is>
      </c>
      <c r="K172" s="6" t="inlineStr">
        <is>
          <t>2026-05-04</t>
        </is>
      </c>
      <c r="L172" s="6" t="inlineStr">
        <is>
          <t>73</t>
        </is>
      </c>
      <c r="M172" s="6" t="inlineStr">
        <is>
          <t>18</t>
        </is>
      </c>
      <c r="N172" s="6" t="inlineStr">
        <is>
          <t>30</t>
        </is>
      </c>
      <c r="O172" s="6" t="inlineStr">
        <is>
          <t>K-D07</t>
        </is>
      </c>
      <c r="P172" s="6" t="inlineStr">
        <is>
          <t>Walled Lake</t>
        </is>
      </c>
      <c r="Q172" s="6" t="inlineStr">
        <is>
          <t>100 North Pond, Suite E, Walled Lake, Michigan, 48390</t>
        </is>
      </c>
      <c r="R172" s="6" t="inlineStr">
        <is>
          <t>Regina Rizk, MD</t>
        </is>
      </c>
      <c r="S172" s="6" t="inlineStr">
        <is>
          <t>Pediatric (Jul 20 rule) → Review for removal</t>
        </is>
      </c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>
      <c r="A173" s="6" t="inlineStr">
        <is>
          <t>Macomb Spine Care</t>
        </is>
      </c>
      <c r="B173" s="6" t="inlineStr">
        <is>
          <t>c3d66a4c-f046-43dd-ae93-ae4aabe95524</t>
        </is>
      </c>
      <c r="C173" s="6" t="inlineStr">
        <is>
          <t>Chiropractor</t>
        </is>
      </c>
      <c r="D173" s="6" t="inlineStr">
        <is>
          <t>Tier 3</t>
        </is>
      </c>
      <c r="E173" s="6" t="inlineStr">
        <is>
          <t>Other Patient Referrer</t>
        </is>
      </c>
      <c r="F173" s="6" t="n">
        <v>21</v>
      </c>
      <c r="G173" s="6" t="n">
        <v>0</v>
      </c>
      <c r="H173" s="6" t="inlineStr">
        <is>
          <t>0</t>
        </is>
      </c>
      <c r="I173" s="6" t="inlineStr">
        <is>
          <t>1</t>
        </is>
      </c>
      <c r="J173" s="6" t="inlineStr">
        <is>
          <t>2026-04-17</t>
        </is>
      </c>
      <c r="K173" s="6" t="inlineStr">
        <is>
          <t>2026-06-15</t>
        </is>
      </c>
      <c r="L173" s="6" t="inlineStr">
        <is>
          <t>31</t>
        </is>
      </c>
      <c r="M173" s="6" t="inlineStr">
        <is>
          <t>24</t>
        </is>
      </c>
      <c r="N173" s="6" t="inlineStr">
        <is>
          <t>30</t>
        </is>
      </c>
      <c r="O173" s="6" t="inlineStr">
        <is>
          <t>K-D15</t>
        </is>
      </c>
      <c r="P173" s="6" t="inlineStr">
        <is>
          <t>Clinton Township</t>
        </is>
      </c>
      <c r="Q173" s="6" t="inlineStr">
        <is>
          <t>41060 Hayes Road, Clinton Township, Michigan, 48038</t>
        </is>
      </c>
      <c r="R173" s="6" t="inlineStr">
        <is>
          <t>Daniel Clark</t>
        </is>
      </c>
      <c r="S173" s="6" t="inlineStr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</row>
    <row r="174">
      <c r="A174" s="6" t="inlineStr">
        <is>
          <t>SOMERSET PEDIATRICS</t>
        </is>
      </c>
      <c r="B174" s="6" t="inlineStr">
        <is>
          <t>eac89ac4-40e0-4d3a-b812-65771f67412f</t>
        </is>
      </c>
      <c r="C174" s="6" t="inlineStr">
        <is>
          <t>Pediatrics</t>
        </is>
      </c>
      <c r="D174" s="6" t="inlineStr">
        <is>
          <t>Tier 3</t>
        </is>
      </c>
      <c r="E174" s="6" t="inlineStr">
        <is>
          <t>Other Patient Referrer</t>
        </is>
      </c>
      <c r="F174" s="6" t="n">
        <v>20</v>
      </c>
      <c r="G174" s="6" t="n">
        <v>0</v>
      </c>
      <c r="H174" s="6" t="inlineStr">
        <is>
          <t>0</t>
        </is>
      </c>
      <c r="I174" s="6" t="inlineStr">
        <is>
          <t>1</t>
        </is>
      </c>
      <c r="J174" s="6" t="inlineStr">
        <is>
          <t>2026-02-27</t>
        </is>
      </c>
      <c r="K174" s="6" t="inlineStr">
        <is>
          <t>2026-05-18</t>
        </is>
      </c>
      <c r="L174" s="6" t="inlineStr">
        <is>
          <t>59</t>
        </is>
      </c>
      <c r="M174" s="6" t="inlineStr">
        <is>
          <t>3</t>
        </is>
      </c>
      <c r="N174" s="6" t="inlineStr">
        <is>
          <t>30</t>
        </is>
      </c>
      <c r="O174" s="6" t="inlineStr">
        <is>
          <t>K-D09</t>
        </is>
      </c>
      <c r="P174" s="6" t="inlineStr">
        <is>
          <t>TROY</t>
        </is>
      </c>
      <c r="Q174" s="6" t="inlineStr">
        <is>
          <t>1555 W BIG BEAVER RD BLDG G, TROY, Michigan</t>
        </is>
      </c>
      <c r="R174" s="6" t="inlineStr">
        <is>
          <t>Tamer Massarani, MD</t>
        </is>
      </c>
      <c r="S174" s="6" t="inlineStr">
        <is>
          <t>Pediatric (Jul 20 rule) → Review for removal</t>
        </is>
      </c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>
      <c r="A175" s="6" t="inlineStr">
        <is>
          <t>Newland Medical Associates</t>
        </is>
      </c>
      <c r="B175" s="6" t="inlineStr">
        <is>
          <t>c87e740c-afe9-4c07-8de8-827e8eaed42d</t>
        </is>
      </c>
      <c r="C175" s="6" t="inlineStr">
        <is>
          <t>Pain</t>
        </is>
      </c>
      <c r="D175" s="6" t="inlineStr">
        <is>
          <t>Prospect</t>
        </is>
      </c>
      <c r="E175" s="6" t="inlineStr">
        <is>
          <t>Visit / Prospect</t>
        </is>
      </c>
      <c r="F175" s="6" t="n">
        <v>12</v>
      </c>
      <c r="G175" s="6" t="n">
        <v>0</v>
      </c>
      <c r="H175" s="6" t="inlineStr">
        <is>
          <t>0</t>
        </is>
      </c>
      <c r="I175" s="6" t="inlineStr">
        <is>
          <t>0</t>
        </is>
      </c>
      <c r="J175" s="6" t="inlineStr"/>
      <c r="K175" s="6" t="inlineStr">
        <is>
          <t>2026-07-08</t>
        </is>
      </c>
      <c r="L175" s="6" t="inlineStr">
        <is>
          <t>8</t>
        </is>
      </c>
      <c r="M175" s="6" t="n">
        <v/>
      </c>
      <c r="N175" s="6" t="inlineStr">
        <is>
          <t>45</t>
        </is>
      </c>
      <c r="O175" s="6" t="inlineStr">
        <is>
          <t>K-D10</t>
        </is>
      </c>
      <c r="P175" s="6" t="inlineStr">
        <is>
          <t>Bingham Farms</t>
        </is>
      </c>
      <c r="Q175" s="6" t="inlineStr">
        <is>
          <t>31500 Telegraph Rd. Ste 225, Bingham Farms, Michigan, 48025</t>
        </is>
      </c>
      <c r="R175" s="6" t="inlineStr"/>
      <c r="S175" s="6" t="inlineStr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</row>
    <row r="176">
      <c r="A176" s="6" t="inlineStr">
        <is>
          <t>Metropolitan Orthopedic Associates</t>
        </is>
      </c>
      <c r="B176" s="6" t="inlineStr">
        <is>
          <t>b5b7ec36-68c2-4b3f-b1bc-7efada3e145f</t>
        </is>
      </c>
      <c r="C176" s="6" t="inlineStr">
        <is>
          <t>Orthopedic</t>
        </is>
      </c>
      <c r="D176" s="6" t="inlineStr">
        <is>
          <t>Prospect</t>
        </is>
      </c>
      <c r="E176" s="6" t="inlineStr">
        <is>
          <t>Visit / Prospect</t>
        </is>
      </c>
      <c r="F176" s="6" t="n">
        <v>12</v>
      </c>
      <c r="G176" s="6" t="n">
        <v>0</v>
      </c>
      <c r="H176" s="6" t="inlineStr">
        <is>
          <t>0</t>
        </is>
      </c>
      <c r="I176" s="6" t="inlineStr">
        <is>
          <t>0</t>
        </is>
      </c>
      <c r="J176" s="6" t="inlineStr"/>
      <c r="K176" s="6" t="inlineStr">
        <is>
          <t>2026-07-07</t>
        </is>
      </c>
      <c r="L176" s="6" t="inlineStr">
        <is>
          <t>9</t>
        </is>
      </c>
      <c r="M176" s="6" t="n">
        <v/>
      </c>
      <c r="N176" s="6" t="inlineStr">
        <is>
          <t>45</t>
        </is>
      </c>
      <c r="O176" s="6" t="inlineStr">
        <is>
          <t>K-D17</t>
        </is>
      </c>
      <c r="P176" s="6" t="inlineStr">
        <is>
          <t>Grosse Pointe</t>
        </is>
      </c>
      <c r="Q176" s="6" t="inlineStr">
        <is>
          <t>16815 Jefferson Ave ste 150, Grosse Pointe, Michigan, 48230</t>
        </is>
      </c>
      <c r="R176" s="6" t="inlineStr"/>
      <c r="S176" s="6" t="inlineStr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>
      <c r="A177" s="6" t="inlineStr">
        <is>
          <t>Clawson Internists</t>
        </is>
      </c>
      <c r="B177" s="6" t="inlineStr">
        <is>
          <t>e69e445d-bc49-4523-9a4b-a3850c3487c9</t>
        </is>
      </c>
      <c r="C177" s="6" t="inlineStr">
        <is>
          <t>PCP</t>
        </is>
      </c>
      <c r="D177" s="6" t="inlineStr">
        <is>
          <t>Prospect</t>
        </is>
      </c>
      <c r="E177" s="6" t="inlineStr">
        <is>
          <t>Visit / Prospect</t>
        </is>
      </c>
      <c r="F177" s="6" t="n">
        <v>11</v>
      </c>
      <c r="G177" s="6" t="n">
        <v>0</v>
      </c>
      <c r="H177" s="6" t="inlineStr">
        <is>
          <t>0</t>
        </is>
      </c>
      <c r="I177" s="6" t="inlineStr">
        <is>
          <t>0</t>
        </is>
      </c>
      <c r="J177" s="6" t="inlineStr"/>
      <c r="K177" s="6" t="inlineStr">
        <is>
          <t>2026-07-15</t>
        </is>
      </c>
      <c r="L177" s="6" t="inlineStr">
        <is>
          <t>1</t>
        </is>
      </c>
      <c r="M177" s="6" t="n">
        <v/>
      </c>
      <c r="N177" s="6" t="inlineStr">
        <is>
          <t>45</t>
        </is>
      </c>
      <c r="O177" s="6" t="inlineStr">
        <is>
          <t>K-D04</t>
        </is>
      </c>
      <c r="P177" s="6" t="inlineStr">
        <is>
          <t>Clawson</t>
        </is>
      </c>
      <c r="Q177" s="6" t="inlineStr">
        <is>
          <t>21 S Main St, Clawson, Michigan, 48017</t>
        </is>
      </c>
      <c r="R177" s="6" t="inlineStr"/>
      <c r="S177" s="6" t="inlineStr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</row>
    <row r="178">
      <c r="A178" s="6" t="inlineStr">
        <is>
          <t>FAITH PRIMARY CARE</t>
        </is>
      </c>
      <c r="B178" s="6" t="inlineStr">
        <is>
          <t>93cecbfb-a489-4b00-933f-76d3066a4ad3</t>
        </is>
      </c>
      <c r="C178" s="6" t="inlineStr">
        <is>
          <t>PCP</t>
        </is>
      </c>
      <c r="D178" s="6" t="inlineStr">
        <is>
          <t>Prospect</t>
        </is>
      </c>
      <c r="E178" s="6" t="inlineStr">
        <is>
          <t>Visit / Prospect</t>
        </is>
      </c>
      <c r="F178" s="6" t="n">
        <v>11</v>
      </c>
      <c r="G178" s="6" t="n">
        <v>0</v>
      </c>
      <c r="H178" s="6" t="inlineStr">
        <is>
          <t>0</t>
        </is>
      </c>
      <c r="I178" s="6" t="inlineStr">
        <is>
          <t>0</t>
        </is>
      </c>
      <c r="J178" s="6" t="inlineStr"/>
      <c r="K178" s="6" t="inlineStr">
        <is>
          <t>2026-07-06</t>
        </is>
      </c>
      <c r="L178" s="6" t="inlineStr">
        <is>
          <t>10</t>
        </is>
      </c>
      <c r="M178" s="6" t="n">
        <v/>
      </c>
      <c r="N178" s="6" t="inlineStr">
        <is>
          <t>45</t>
        </is>
      </c>
      <c r="O178" s="6" t="inlineStr">
        <is>
          <t>K-D05</t>
        </is>
      </c>
      <c r="P178" s="6" t="inlineStr">
        <is>
          <t>WESTLAND</t>
        </is>
      </c>
      <c r="Q178" s="6" t="inlineStr">
        <is>
          <t>315 s Wayne rd, WESTLAND, Michigan, 48186</t>
        </is>
      </c>
      <c r="R178" s="6" t="inlineStr"/>
      <c r="S178" s="6" t="inlineStr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>
      <c r="A179" s="6" t="inlineStr">
        <is>
          <t>BETTER HEALTH CLINIC</t>
        </is>
      </c>
      <c r="B179" s="6" t="inlineStr">
        <is>
          <t>1e77e934-4008-4672-ac72-64c80d79458e</t>
        </is>
      </c>
      <c r="C179" s="6" t="inlineStr">
        <is>
          <t>PCP</t>
        </is>
      </c>
      <c r="D179" s="6" t="inlineStr">
        <is>
          <t>Prospect</t>
        </is>
      </c>
      <c r="E179" s="6" t="inlineStr">
        <is>
          <t>Visit / Prospect</t>
        </is>
      </c>
      <c r="F179" s="6" t="n">
        <v>11</v>
      </c>
      <c r="G179" s="6" t="n">
        <v>0</v>
      </c>
      <c r="H179" s="6" t="inlineStr">
        <is>
          <t>0</t>
        </is>
      </c>
      <c r="I179" s="6" t="inlineStr">
        <is>
          <t>0</t>
        </is>
      </c>
      <c r="J179" s="6" t="inlineStr"/>
      <c r="K179" s="6" t="inlineStr">
        <is>
          <t>2026-07-06</t>
        </is>
      </c>
      <c r="L179" s="6" t="inlineStr">
        <is>
          <t>10</t>
        </is>
      </c>
      <c r="M179" s="6" t="n">
        <v/>
      </c>
      <c r="N179" s="6" t="inlineStr">
        <is>
          <t>45</t>
        </is>
      </c>
      <c r="O179" s="6" t="inlineStr">
        <is>
          <t>K-D08</t>
        </is>
      </c>
      <c r="P179" s="6" t="inlineStr">
        <is>
          <t>WESTLAND</t>
        </is>
      </c>
      <c r="Q179" s="6" t="inlineStr">
        <is>
          <t>8275 N WAYNE RD, WESTLAND, Michigan, 48185</t>
        </is>
      </c>
      <c r="R179" s="6" t="inlineStr"/>
      <c r="S179" s="6" t="inlineStr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</row>
    <row r="180">
      <c r="A180" s="6" t="inlineStr">
        <is>
          <t>GAMMONS MEDICAL</t>
        </is>
      </c>
      <c r="B180" s="6" t="inlineStr">
        <is>
          <t>377517aa-6082-4575-9083-498d5aca7ecb</t>
        </is>
      </c>
      <c r="C180" s="6" t="inlineStr">
        <is>
          <t>PCP</t>
        </is>
      </c>
      <c r="D180" s="6" t="inlineStr">
        <is>
          <t>Prospect</t>
        </is>
      </c>
      <c r="E180" s="6" t="inlineStr">
        <is>
          <t>Visit / Prospect</t>
        </is>
      </c>
      <c r="F180" s="6" t="n">
        <v>11</v>
      </c>
      <c r="G180" s="6" t="n">
        <v>0</v>
      </c>
      <c r="H180" s="6" t="inlineStr">
        <is>
          <t>0</t>
        </is>
      </c>
      <c r="I180" s="6" t="inlineStr">
        <is>
          <t>0</t>
        </is>
      </c>
      <c r="J180" s="6" t="inlineStr"/>
      <c r="K180" s="6" t="inlineStr">
        <is>
          <t>2026-07-13</t>
        </is>
      </c>
      <c r="L180" s="6" t="inlineStr">
        <is>
          <t>3</t>
        </is>
      </c>
      <c r="M180" s="6" t="n">
        <v/>
      </c>
      <c r="N180" s="6" t="inlineStr">
        <is>
          <t>45</t>
        </is>
      </c>
      <c r="O180" s="6" t="inlineStr">
        <is>
          <t>K-D13</t>
        </is>
      </c>
      <c r="P180" s="6" t="inlineStr">
        <is>
          <t>WARREN</t>
        </is>
      </c>
      <c r="Q180" s="6" t="inlineStr">
        <is>
          <t>28477 HOOVER RD, WARREN, MI, 48093</t>
        </is>
      </c>
      <c r="R180" s="6" t="inlineStr"/>
      <c r="S180" s="6" t="inlineStr">
        <is>
          <t>Addiction medicine (Jul 20 rule) → Review for removal</t>
        </is>
      </c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>
      <c r="A181" s="6" t="inlineStr">
        <is>
          <t>Henry Ford  SAINT CLAIR ADULT MEDICINE SPECIALISTS</t>
        </is>
      </c>
      <c r="B181" s="6" t="inlineStr">
        <is>
          <t>6f3c7a90-84e4-44ad-9d54-cf249407d5e4</t>
        </is>
      </c>
      <c r="C181" s="6" t="inlineStr">
        <is>
          <t>PCP</t>
        </is>
      </c>
      <c r="D181" s="6" t="inlineStr">
        <is>
          <t>Prospect</t>
        </is>
      </c>
      <c r="E181" s="6" t="inlineStr">
        <is>
          <t>Visit / Prospect</t>
        </is>
      </c>
      <c r="F181" s="6" t="n">
        <v>11</v>
      </c>
      <c r="G181" s="6" t="n">
        <v>0</v>
      </c>
      <c r="H181" s="6" t="inlineStr">
        <is>
          <t>0</t>
        </is>
      </c>
      <c r="I181" s="6" t="inlineStr">
        <is>
          <t>0</t>
        </is>
      </c>
      <c r="J181" s="6" t="inlineStr"/>
      <c r="K181" s="6" t="inlineStr">
        <is>
          <t>2026-07-07</t>
        </is>
      </c>
      <c r="L181" s="6" t="inlineStr">
        <is>
          <t>9</t>
        </is>
      </c>
      <c r="M181" s="6" t="n">
        <v/>
      </c>
      <c r="N181" s="6" t="inlineStr">
        <is>
          <t>45</t>
        </is>
      </c>
      <c r="O181" s="6" t="inlineStr">
        <is>
          <t>K-D17</t>
        </is>
      </c>
      <c r="P181" s="6" t="inlineStr">
        <is>
          <t>GROSSE POINTE</t>
        </is>
      </c>
      <c r="Q181" s="6" t="inlineStr">
        <is>
          <t>17141 KERCHEVAL AVE, GROSSE POINTE, Michigan, 48230</t>
        </is>
      </c>
      <c r="R181" s="6" t="inlineStr"/>
      <c r="S181" s="6" t="inlineStr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</row>
    <row r="182">
      <c r="A182" s="6" t="inlineStr">
        <is>
          <t>Corewell Family Medicine - Grosse Pointe</t>
        </is>
      </c>
      <c r="B182" s="6" t="inlineStr">
        <is>
          <t>53870065-638f-4a2b-8ddc-ed21771e1975</t>
        </is>
      </c>
      <c r="C182" s="6" t="inlineStr">
        <is>
          <t>PCP</t>
        </is>
      </c>
      <c r="D182" s="6" t="inlineStr">
        <is>
          <t>Prospect</t>
        </is>
      </c>
      <c r="E182" s="6" t="inlineStr">
        <is>
          <t>Visit / Prospect</t>
        </is>
      </c>
      <c r="F182" s="6" t="n">
        <v>11</v>
      </c>
      <c r="G182" s="6" t="n">
        <v>0</v>
      </c>
      <c r="H182" s="6" t="inlineStr">
        <is>
          <t>0</t>
        </is>
      </c>
      <c r="I182" s="6" t="inlineStr">
        <is>
          <t>0</t>
        </is>
      </c>
      <c r="J182" s="6" t="inlineStr"/>
      <c r="K182" s="6" t="inlineStr">
        <is>
          <t>2026-07-07</t>
        </is>
      </c>
      <c r="L182" s="6" t="inlineStr">
        <is>
          <t>9</t>
        </is>
      </c>
      <c r="M182" s="6" t="n">
        <v/>
      </c>
      <c r="N182" s="6" t="inlineStr">
        <is>
          <t>45</t>
        </is>
      </c>
      <c r="O182" s="6" t="inlineStr">
        <is>
          <t>K-D17</t>
        </is>
      </c>
      <c r="P182" s="6" t="inlineStr">
        <is>
          <t>Grosse Pointe</t>
        </is>
      </c>
      <c r="Q182" s="6" t="inlineStr">
        <is>
          <t>16815 E Jefferson Ave suite 120, Grosse Pointe, Michigan, 48230</t>
        </is>
      </c>
      <c r="R182" s="6" t="inlineStr"/>
      <c r="S182" s="6" t="inlineStr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</sheetData>
  <dataValidations count="5">
    <dataValidation sqref="T3:T182" showDropDown="0" showInputMessage="0" showErrorMessage="0" allowBlank="1" type="list">
      <formula1>"Keep,Remove,Reassign"</formula1>
    </dataValidation>
    <dataValidation sqref="V3:V182" showDropDown="0" showInputMessage="0" showErrorMessage="0" allowBlank="1" type="list">
      <formula1>"Tier 1,Tier 2,Tier 3,Prospect"</formula1>
    </dataValidation>
    <dataValidation sqref="W3:W182" showDropDown="0" showInputMessage="0" showErrorMessage="0" allowBlank="1" type="list">
      <formula1>"High,Medium,Low,None"</formula1>
    </dataValidation>
    <dataValidation sqref="X3:X182" showDropDown="0" showInputMessage="0" showErrorMessage="0" allowBlank="1" type="list">
      <formula1>"Yes,No,Unknown"</formula1>
    </dataValidation>
    <dataValidation sqref="Y3:Y182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9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9" customWidth="1" min="15" max="15"/>
    <col width="15" customWidth="1" min="16" max="16"/>
    <col width="32" customWidth="1" min="17" max="17"/>
    <col width="34" customWidth="1" min="18" max="18"/>
    <col width="30" customWidth="1" min="19" max="19"/>
    <col width="12" customWidth="1" min="20" max="20"/>
    <col width="14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26" customWidth="1" min="27" max="27"/>
    <col width="28" customWidth="1" min="28" max="28"/>
  </cols>
  <sheetData>
    <row r="1">
      <c r="A1" s="4" t="inlineStr">
        <is>
          <t>Account / Practice</t>
        </is>
      </c>
      <c r="B1" s="4" t="inlineStr">
        <is>
          <t>MMC Company ID</t>
        </is>
      </c>
      <c r="C1" s="4" t="inlineStr">
        <is>
          <t>Practice Type</t>
        </is>
      </c>
      <c r="D1" s="4" t="inlineStr">
        <is>
          <t>Tier</t>
        </is>
      </c>
      <c r="E1" s="4" t="inlineStr">
        <is>
          <t>Referral Evidence Band</t>
        </is>
      </c>
      <c r="F1" s="4" t="inlineStr">
        <is>
          <t>Target Score</t>
        </is>
      </c>
      <c r="G1" s="4" t="inlineStr">
        <is>
          <t>Spine 2026</t>
        </is>
      </c>
      <c r="H1" s="4" t="inlineStr">
        <is>
          <t>Ortho 2026</t>
        </is>
      </c>
      <c r="I1" s="4" t="inlineStr">
        <is>
          <t>Total B2B 2026</t>
        </is>
      </c>
      <c r="J1" s="4" t="inlineStr">
        <is>
          <t>Last Spine Patient</t>
        </is>
      </c>
      <c r="K1" s="4" t="inlineStr">
        <is>
          <t>Last Completed Visit</t>
        </is>
      </c>
      <c r="L1" s="4" t="inlineStr">
        <is>
          <t>Days Since Visit</t>
        </is>
      </c>
      <c r="M1" s="4" t="inlineStr">
        <is>
          <t>Median Visit→Appt Lag</t>
        </is>
      </c>
      <c r="N1" s="4" t="inlineStr">
        <is>
          <t>Planned Cadence (d)</t>
        </is>
      </c>
      <c r="O1" s="4" t="inlineStr">
        <is>
          <t>Route Day</t>
        </is>
      </c>
      <c r="P1" s="4" t="inlineStr">
        <is>
          <t>City</t>
        </is>
      </c>
      <c r="Q1" s="4" t="inlineStr">
        <is>
          <t>Full Address</t>
        </is>
      </c>
      <c r="R1" s="4" t="inlineStr">
        <is>
          <t>Known Referring Providers</t>
        </is>
      </c>
      <c r="S1" s="4" t="inlineStr">
        <is>
          <t>Pre-Flag (auto)</t>
        </is>
      </c>
      <c r="T1" s="4" t="inlineStr">
        <is>
          <t>Disposition</t>
        </is>
      </c>
      <c r="U1" s="4" t="inlineStr">
        <is>
          <t>Final Practice Type</t>
        </is>
      </c>
      <c r="V1" s="4" t="inlineStr">
        <is>
          <t>Final Tier</t>
        </is>
      </c>
      <c r="W1" s="4" t="inlineStr">
        <is>
          <t>Spine Opportunity</t>
        </is>
      </c>
      <c r="X1" s="4" t="inlineStr">
        <is>
          <t>Employed Spine/Neuro Provider?</t>
        </is>
      </c>
      <c r="Y1" s="4" t="inlineStr">
        <is>
          <t>Competitor / Referral Restriction?</t>
        </is>
      </c>
      <c r="Z1" s="4" t="inlineStr">
        <is>
          <t>Recommended Cadence (d)</t>
        </is>
      </c>
      <c r="AA1" s="4" t="inlineStr">
        <is>
          <t>Removal / Reassignment Reason</t>
        </is>
      </c>
      <c r="AB1" s="4" t="inlineStr">
        <is>
          <t>PL Notes</t>
        </is>
      </c>
    </row>
    <row r="2">
      <c r="A2" s="5" t="inlineStr">
        <is>
          <t>[EXAMPLE] Sample Family Medicine</t>
        </is>
      </c>
      <c r="B2" s="5" t="inlineStr">
        <is>
          <t>—</t>
        </is>
      </c>
      <c r="C2" s="5" t="inlineStr">
        <is>
          <t>PCP</t>
        </is>
      </c>
      <c r="D2" s="5" t="inlineStr">
        <is>
          <t>Tier 2</t>
        </is>
      </c>
      <c r="E2" s="5" t="inlineStr">
        <is>
          <t>Ortho Referrer</t>
        </is>
      </c>
      <c r="F2" s="5" t="n">
        <v>48</v>
      </c>
      <c r="G2" s="5" t="n">
        <v>0</v>
      </c>
      <c r="H2" s="5" t="n">
        <v>3</v>
      </c>
      <c r="I2" s="5" t="n">
        <v>4</v>
      </c>
      <c r="J2" s="5" t="inlineStr"/>
      <c r="K2" s="5" t="inlineStr">
        <is>
          <t>2026-06-12</t>
        </is>
      </c>
      <c r="L2" s="5" t="n">
        <v>39</v>
      </c>
      <c r="M2" s="5" t="inlineStr"/>
      <c r="N2" s="5" t="inlineStr">
        <is>
          <t>21</t>
        </is>
      </c>
      <c r="O2" s="5" t="inlineStr">
        <is>
          <t>K-D03</t>
        </is>
      </c>
      <c r="P2" s="5" t="inlineStr">
        <is>
          <t>Livonia</t>
        </is>
      </c>
      <c r="Q2" s="5" t="inlineStr">
        <is>
          <t>123 Example Rd</t>
        </is>
      </c>
      <c r="R2" s="5" t="inlineStr">
        <is>
          <t>Dr. A. Sample (3 ortho)</t>
        </is>
      </c>
      <c r="S2" s="5" t="inlineStr"/>
      <c r="T2" s="5" t="inlineStr">
        <is>
          <t>Keep</t>
        </is>
      </c>
      <c r="U2" s="5" t="inlineStr">
        <is>
          <t>PCP</t>
        </is>
      </c>
      <c r="V2" s="5" t="inlineStr">
        <is>
          <t>Tier 2</t>
        </is>
      </c>
      <c r="W2" s="5" t="inlineStr">
        <is>
          <t>Medium</t>
        </is>
      </c>
      <c r="X2" s="5" t="inlineStr">
        <is>
          <t>No</t>
        </is>
      </c>
      <c r="Y2" s="5" t="inlineStr">
        <is>
          <t>No</t>
        </is>
      </c>
      <c r="Z2" s="5" t="inlineStr">
        <is>
          <t>21</t>
        </is>
      </c>
      <c r="AA2" s="5" t="inlineStr"/>
      <c r="AB2" s="5" t="inlineStr">
        <is>
          <t>Solid ortho sender; pitch spine pathway next visit</t>
        </is>
      </c>
    </row>
    <row r="3">
      <c r="A3" s="6" t="inlineStr">
        <is>
          <t>DMC SPORTS MEDICINE NOVI</t>
        </is>
      </c>
      <c r="B3" s="6" t="inlineStr">
        <is>
          <t>6e52135e-6cca-4482-9973-58d180f1dce7</t>
        </is>
      </c>
      <c r="C3" s="6" t="inlineStr">
        <is>
          <t>Orthopedic</t>
        </is>
      </c>
      <c r="D3" s="6" t="inlineStr">
        <is>
          <t>Tier 1</t>
        </is>
      </c>
      <c r="E3" s="6" t="inlineStr">
        <is>
          <t>Repeat Spine Referrer</t>
        </is>
      </c>
      <c r="F3" s="6" t="n">
        <v>100</v>
      </c>
      <c r="G3" s="6" t="n">
        <v>7</v>
      </c>
      <c r="H3" s="6" t="inlineStr">
        <is>
          <t>0</t>
        </is>
      </c>
      <c r="I3" s="6" t="inlineStr">
        <is>
          <t>7</t>
        </is>
      </c>
      <c r="J3" s="6" t="inlineStr">
        <is>
          <t>2026-06-19</t>
        </is>
      </c>
      <c r="K3" s="6" t="inlineStr">
        <is>
          <t>2026-06-24</t>
        </is>
      </c>
      <c r="L3" s="6" t="inlineStr">
        <is>
          <t>22</t>
        </is>
      </c>
      <c r="M3" s="6" t="inlineStr">
        <is>
          <t>32</t>
        </is>
      </c>
      <c r="N3" s="6" t="inlineStr">
        <is>
          <t>14</t>
        </is>
      </c>
      <c r="O3" s="6" t="inlineStr">
        <is>
          <t>J-D08</t>
        </is>
      </c>
      <c r="P3" s="6" t="inlineStr">
        <is>
          <t>NOVI</t>
        </is>
      </c>
      <c r="Q3" s="6" t="inlineStr">
        <is>
          <t>44000 W 12 MILE RD STE 100, NOVI, MI, 48377</t>
        </is>
      </c>
      <c r="R3" s="6" t="inlineStr">
        <is>
          <t>Robert Meehan, MD (2 spine)</t>
        </is>
      </c>
      <c r="S3" s="6" t="inlineStr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6" t="inlineStr">
        <is>
          <t>Comprehensive Healthcare Associates and Prevention Medicine</t>
        </is>
      </c>
      <c r="B4" s="6" t="inlineStr">
        <is>
          <t>c7781046-a235-49fa-ac8e-4b8d6354c618</t>
        </is>
      </c>
      <c r="C4" s="6" t="inlineStr">
        <is>
          <t>PCP</t>
        </is>
      </c>
      <c r="D4" s="6" t="inlineStr">
        <is>
          <t>Tier 1</t>
        </is>
      </c>
      <c r="E4" s="6" t="inlineStr">
        <is>
          <t>Repeat Spine Referrer</t>
        </is>
      </c>
      <c r="F4" s="6" t="n">
        <v>99</v>
      </c>
      <c r="G4" s="6" t="n">
        <v>6</v>
      </c>
      <c r="H4" s="6" t="inlineStr">
        <is>
          <t>16</t>
        </is>
      </c>
      <c r="I4" s="6" t="inlineStr">
        <is>
          <t>24</t>
        </is>
      </c>
      <c r="J4" s="6" t="inlineStr">
        <is>
          <t>2026-06-30</t>
        </is>
      </c>
      <c r="K4" s="6" t="inlineStr">
        <is>
          <t>2026-07-09</t>
        </is>
      </c>
      <c r="L4" s="6" t="inlineStr">
        <is>
          <t>7</t>
        </is>
      </c>
      <c r="M4" s="6" t="inlineStr">
        <is>
          <t>23</t>
        </is>
      </c>
      <c r="N4" s="6" t="inlineStr">
        <is>
          <t>14</t>
        </is>
      </c>
      <c r="O4" s="6" t="inlineStr">
        <is>
          <t>J-D01</t>
        </is>
      </c>
      <c r="P4" s="6" t="inlineStr">
        <is>
          <t>Livonia</t>
        </is>
      </c>
      <c r="Q4" s="6" t="inlineStr">
        <is>
          <t>15140 Levan Rd, Livonia, Michigan, 48154</t>
        </is>
      </c>
      <c r="R4" s="6" t="inlineStr">
        <is>
          <t>Babu Jarodiya, MD (5 spine) · Jaya Vankayalapati, MD (1 spine) · Rakesh Patel, MD (3 ortho) · Jaspal Singh, MD (2 ortho)</t>
        </is>
      </c>
      <c r="S4" s="6" t="inlineStr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6" t="inlineStr">
        <is>
          <t>Park Medical Centers - Canton</t>
        </is>
      </c>
      <c r="B5" s="6" t="inlineStr">
        <is>
          <t>047f1f57-d796-4b0d-b2d0-b5d576ad50ea</t>
        </is>
      </c>
      <c r="C5" s="6" t="inlineStr">
        <is>
          <t>PCP</t>
        </is>
      </c>
      <c r="D5" s="6" t="inlineStr">
        <is>
          <t>Tier 1</t>
        </is>
      </c>
      <c r="E5" s="6" t="inlineStr">
        <is>
          <t>Repeat Spine Referrer</t>
        </is>
      </c>
      <c r="F5" s="6" t="n">
        <v>98</v>
      </c>
      <c r="G5" s="6" t="n">
        <v>5</v>
      </c>
      <c r="H5" s="6" t="inlineStr">
        <is>
          <t>3</t>
        </is>
      </c>
      <c r="I5" s="6" t="inlineStr">
        <is>
          <t>9</t>
        </is>
      </c>
      <c r="J5" s="6" t="inlineStr">
        <is>
          <t>2026-07-07</t>
        </is>
      </c>
      <c r="K5" s="6" t="inlineStr">
        <is>
          <t>2026-07-02</t>
        </is>
      </c>
      <c r="L5" s="6" t="inlineStr">
        <is>
          <t>14</t>
        </is>
      </c>
      <c r="M5" s="6" t="inlineStr">
        <is>
          <t>28</t>
        </is>
      </c>
      <c r="N5" s="6" t="inlineStr">
        <is>
          <t>14</t>
        </is>
      </c>
      <c r="O5" s="6" t="inlineStr">
        <is>
          <t>J-D03</t>
        </is>
      </c>
      <c r="P5" s="6" t="inlineStr">
        <is>
          <t>CANTON</t>
        </is>
      </c>
      <c r="Q5" s="6" t="inlineStr">
        <is>
          <t>8532 N CANTON CENTER RD, CANTON, MI, 48187</t>
        </is>
      </c>
      <c r="R5" s="6" t="inlineStr">
        <is>
          <t>William F Rollins, DO (4 spine) · William Rollins, DO (1 spine)</t>
        </is>
      </c>
      <c r="S5" s="6" t="inlineStr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6" t="inlineStr">
        <is>
          <t>Synergy Medical Primary Care</t>
        </is>
      </c>
      <c r="B6" s="6" t="inlineStr">
        <is>
          <t>5cb01f9c-faec-4c04-b600-f0eba085f6a3</t>
        </is>
      </c>
      <c r="C6" s="6" t="inlineStr">
        <is>
          <t>PCP</t>
        </is>
      </c>
      <c r="D6" s="6" t="inlineStr">
        <is>
          <t>Tier 1</t>
        </is>
      </c>
      <c r="E6" s="6" t="inlineStr">
        <is>
          <t>Repeat Spine Referrer</t>
        </is>
      </c>
      <c r="F6" s="6" t="n">
        <v>91</v>
      </c>
      <c r="G6" s="6" t="n">
        <v>4</v>
      </c>
      <c r="H6" s="6" t="inlineStr">
        <is>
          <t>14</t>
        </is>
      </c>
      <c r="I6" s="6" t="inlineStr">
        <is>
          <t>19</t>
        </is>
      </c>
      <c r="J6" s="6" t="inlineStr">
        <is>
          <t>2026-06-25</t>
        </is>
      </c>
      <c r="K6" s="6" t="inlineStr">
        <is>
          <t>2026-07-08</t>
        </is>
      </c>
      <c r="L6" s="6" t="inlineStr">
        <is>
          <t>8</t>
        </is>
      </c>
      <c r="M6" s="6" t="inlineStr">
        <is>
          <t>18</t>
        </is>
      </c>
      <c r="N6" s="6" t="inlineStr">
        <is>
          <t>14</t>
        </is>
      </c>
      <c r="O6" s="6" t="inlineStr">
        <is>
          <t>J-D04</t>
        </is>
      </c>
      <c r="P6" s="6" t="inlineStr">
        <is>
          <t>Livonia</t>
        </is>
      </c>
      <c r="Q6" s="6" t="inlineStr">
        <is>
          <t>9216 Middlebelt Rd, Livonia, Michigan, 48150</t>
        </is>
      </c>
      <c r="R6" s="6" t="inlineStr">
        <is>
          <t>Hetal Gandhi, MD (3 spine) · Katie Simkow, NP (1 spine) · Miranda Sattam, PA-C (1 ortho)</t>
        </is>
      </c>
      <c r="S6" s="6" t="inlineStr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>
      <c r="A7" s="6" t="inlineStr">
        <is>
          <t>CANTON FAMILY HEALTH LLC</t>
        </is>
      </c>
      <c r="B7" s="6" t="inlineStr">
        <is>
          <t>3acfe2ff-d550-4785-99aa-a1ea91ef7da4</t>
        </is>
      </c>
      <c r="C7" s="6" t="inlineStr">
        <is>
          <t>PCP</t>
        </is>
      </c>
      <c r="D7" s="6" t="inlineStr">
        <is>
          <t>Tier 1</t>
        </is>
      </c>
      <c r="E7" s="6" t="inlineStr">
        <is>
          <t>Repeat Spine Referrer</t>
        </is>
      </c>
      <c r="F7" s="6" t="n">
        <v>90</v>
      </c>
      <c r="G7" s="6" t="n">
        <v>4</v>
      </c>
      <c r="H7" s="6" t="inlineStr">
        <is>
          <t>1</t>
        </is>
      </c>
      <c r="I7" s="6" t="inlineStr">
        <is>
          <t>6</t>
        </is>
      </c>
      <c r="J7" s="6" t="inlineStr">
        <is>
          <t>2026-07-06</t>
        </is>
      </c>
      <c r="K7" s="6" t="inlineStr">
        <is>
          <t>2026-07-06</t>
        </is>
      </c>
      <c r="L7" s="6" t="inlineStr">
        <is>
          <t>10</t>
        </is>
      </c>
      <c r="M7" s="6" t="inlineStr">
        <is>
          <t>44.5</t>
        </is>
      </c>
      <c r="N7" s="6" t="inlineStr">
        <is>
          <t>14</t>
        </is>
      </c>
      <c r="O7" s="6" t="inlineStr">
        <is>
          <t>J-D01</t>
        </is>
      </c>
      <c r="P7" s="6" t="inlineStr">
        <is>
          <t>CANTON</t>
        </is>
      </c>
      <c r="Q7" s="6" t="inlineStr">
        <is>
          <t>6300 N HAGGERTY RD STE 220, CANTON, MI, 48187</t>
        </is>
      </c>
      <c r="R7" s="6" t="inlineStr">
        <is>
          <t>Samih Mike Ajami, DO (4 spine) · Shadia Yeihey, MD (1 ortho)</t>
        </is>
      </c>
      <c r="S7" s="6" t="inlineStr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>
      <c r="A8" s="6" t="inlineStr">
        <is>
          <t>QuickDoc Urgent Care</t>
        </is>
      </c>
      <c r="B8" s="6" t="inlineStr">
        <is>
          <t>20e3535a-e9f3-4760-9cd8-6e86789495da</t>
        </is>
      </c>
      <c r="C8" s="6" t="inlineStr">
        <is>
          <t>Urgent Care</t>
        </is>
      </c>
      <c r="D8" s="6" t="inlineStr">
        <is>
          <t>Tier 1</t>
        </is>
      </c>
      <c r="E8" s="6" t="inlineStr">
        <is>
          <t>Repeat Spine Referrer</t>
        </is>
      </c>
      <c r="F8" s="6" t="n">
        <v>89</v>
      </c>
      <c r="G8" s="6" t="n">
        <v>4</v>
      </c>
      <c r="H8" s="6" t="inlineStr">
        <is>
          <t>0</t>
        </is>
      </c>
      <c r="I8" s="6" t="inlineStr">
        <is>
          <t>4</t>
        </is>
      </c>
      <c r="J8" s="6" t="inlineStr">
        <is>
          <t>2026-05-28</t>
        </is>
      </c>
      <c r="K8" s="6" t="inlineStr">
        <is>
          <t>2026-05-12</t>
        </is>
      </c>
      <c r="L8" s="6" t="inlineStr">
        <is>
          <t>65</t>
        </is>
      </c>
      <c r="M8" s="6" t="inlineStr">
        <is>
          <t>11</t>
        </is>
      </c>
      <c r="N8" s="6" t="inlineStr">
        <is>
          <t>14</t>
        </is>
      </c>
      <c r="O8" s="6" t="inlineStr">
        <is>
          <t>J-D05</t>
        </is>
      </c>
      <c r="P8" s="6" t="inlineStr">
        <is>
          <t>Eastpointe</t>
        </is>
      </c>
      <c r="Q8" s="6" t="inlineStr">
        <is>
          <t>19070 East 10 Mile Road, Eastpointe, Michigan, 48021</t>
        </is>
      </c>
      <c r="R8" s="6" t="inlineStr">
        <is>
          <t>Mohamad Rahbar, MD (4 spine)</t>
        </is>
      </c>
      <c r="S8" s="6" t="inlineStr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>
      <c r="A9" s="6" t="inlineStr">
        <is>
          <t>NORLIVO INTERNAL MEDICINE</t>
        </is>
      </c>
      <c r="B9" s="6" t="inlineStr">
        <is>
          <t>74262c96-dd4b-4b92-acd7-c43ebba4c04f</t>
        </is>
      </c>
      <c r="C9" s="6" t="inlineStr">
        <is>
          <t>Orthopedic</t>
        </is>
      </c>
      <c r="D9" s="6" t="inlineStr">
        <is>
          <t>Tier 1</t>
        </is>
      </c>
      <c r="E9" s="6" t="inlineStr">
        <is>
          <t>Repeat Spine Referrer</t>
        </is>
      </c>
      <c r="F9" s="6" t="n">
        <v>91</v>
      </c>
      <c r="G9" s="6" t="n">
        <v>3</v>
      </c>
      <c r="H9" s="6" t="inlineStr">
        <is>
          <t>7</t>
        </is>
      </c>
      <c r="I9" s="6" t="inlineStr">
        <is>
          <t>10</t>
        </is>
      </c>
      <c r="J9" s="6" t="inlineStr">
        <is>
          <t>2026-06-05</t>
        </is>
      </c>
      <c r="K9" s="6" t="inlineStr">
        <is>
          <t>2026-06-09</t>
        </is>
      </c>
      <c r="L9" s="6" t="inlineStr">
        <is>
          <t>37</t>
        </is>
      </c>
      <c r="M9" s="6" t="inlineStr">
        <is>
          <t>19</t>
        </is>
      </c>
      <c r="N9" s="6" t="inlineStr">
        <is>
          <t>14</t>
        </is>
      </c>
      <c r="O9" s="6" t="inlineStr">
        <is>
          <t>J-D09</t>
        </is>
      </c>
      <c r="P9" s="6" t="inlineStr">
        <is>
          <t>Livonia</t>
        </is>
      </c>
      <c r="Q9" s="6" t="inlineStr">
        <is>
          <t>20311 Farmington Road, Livonia, Michigan, 48152</t>
        </is>
      </c>
      <c r="R9" s="6" t="inlineStr">
        <is>
          <t>Amadeo R Sturla, MD (2 spine) · Amadeo Sturla, MD (1 spine)</t>
        </is>
      </c>
      <c r="S9" s="6" t="inlineStr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>
      <c r="A10" s="6" t="inlineStr">
        <is>
          <t>OAK STREET HEALTH CHERRY HILL</t>
        </is>
      </c>
      <c r="B10" s="6" t="inlineStr">
        <is>
          <t>0cc06713-910b-4b74-ba14-7cd3d76b3c62</t>
        </is>
      </c>
      <c r="C10" s="6" t="inlineStr">
        <is>
          <t>PCP</t>
        </is>
      </c>
      <c r="D10" s="6" t="inlineStr">
        <is>
          <t>Tier 1</t>
        </is>
      </c>
      <c r="E10" s="6" t="inlineStr">
        <is>
          <t>Repeat Spine Referrer</t>
        </is>
      </c>
      <c r="F10" s="6" t="n">
        <v>88</v>
      </c>
      <c r="G10" s="6" t="n">
        <v>3</v>
      </c>
      <c r="H10" s="6" t="inlineStr">
        <is>
          <t>14</t>
        </is>
      </c>
      <c r="I10" s="6" t="inlineStr">
        <is>
          <t>21</t>
        </is>
      </c>
      <c r="J10" s="6" t="inlineStr">
        <is>
          <t>2026-06-25</t>
        </is>
      </c>
      <c r="K10" s="6" t="inlineStr">
        <is>
          <t>2026-04-22</t>
        </is>
      </c>
      <c r="L10" s="6" t="inlineStr">
        <is>
          <t>85</t>
        </is>
      </c>
      <c r="M10" s="6" t="inlineStr">
        <is>
          <t>22</t>
        </is>
      </c>
      <c r="N10" s="6" t="inlineStr">
        <is>
          <t>14</t>
        </is>
      </c>
      <c r="O10" s="6" t="inlineStr">
        <is>
          <t>J-D02</t>
        </is>
      </c>
      <c r="P10" s="6" t="inlineStr">
        <is>
          <t>INKSTER</t>
        </is>
      </c>
      <c r="Q10" s="6" t="inlineStr">
        <is>
          <t>27155 CHERRY HILL RD, INKSTER, MI, 48141</t>
        </is>
      </c>
      <c r="R10" s="6" t="inlineStr">
        <is>
          <t>Peter Vasquez, MD (1 spine) · Nadine Larcher, NP (1 spine) · Oakstreet Health - Cherry Hill (1 spine) · Gaybriel Morrell, MD (4 ortho)</t>
        </is>
      </c>
      <c r="S10" s="6" t="inlineStr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>
      <c r="A11" s="6" t="inlineStr">
        <is>
          <t>Premier Medicine Medical Center - Livonia</t>
        </is>
      </c>
      <c r="B11" s="6" t="inlineStr">
        <is>
          <t>13842362-6701-47f3-95cc-140ea17bd264</t>
        </is>
      </c>
      <c r="C11" s="6" t="inlineStr">
        <is>
          <t>Urgent Care</t>
        </is>
      </c>
      <c r="D11" s="6" t="inlineStr">
        <is>
          <t>Tier 1</t>
        </is>
      </c>
      <c r="E11" s="6" t="inlineStr">
        <is>
          <t>Repeat Spine Referrer</t>
        </is>
      </c>
      <c r="F11" s="6" t="n">
        <v>85</v>
      </c>
      <c r="G11" s="6" t="n">
        <v>2</v>
      </c>
      <c r="H11" s="6" t="inlineStr">
        <is>
          <t>5</t>
        </is>
      </c>
      <c r="I11" s="6" t="inlineStr">
        <is>
          <t>7</t>
        </is>
      </c>
      <c r="J11" s="6" t="inlineStr">
        <is>
          <t>2026-06-19</t>
        </is>
      </c>
      <c r="K11" s="6" t="inlineStr">
        <is>
          <t>2026-06-26</t>
        </is>
      </c>
      <c r="L11" s="6" t="inlineStr">
        <is>
          <t>20</t>
        </is>
      </c>
      <c r="M11" s="6" t="inlineStr">
        <is>
          <t>30</t>
        </is>
      </c>
      <c r="N11" s="6" t="inlineStr">
        <is>
          <t>14</t>
        </is>
      </c>
      <c r="O11" s="6" t="inlineStr">
        <is>
          <t>J-D10</t>
        </is>
      </c>
      <c r="P11" s="6" t="inlineStr">
        <is>
          <t>Livonia</t>
        </is>
      </c>
      <c r="Q11" s="6" t="inlineStr">
        <is>
          <t>20290 Middlebelt Rd, Livonia, Michigan, 48152</t>
        </is>
      </c>
      <c r="R11" s="6" t="inlineStr">
        <is>
          <t>Nabil Suliman, MD (1 spine) · Monica Fukala, NP (1 spine) · Somnath Chowdhury, MD (1 ortho)</t>
        </is>
      </c>
      <c r="S11" s="6" t="inlineStr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>
      <c r="A12" s="6" t="inlineStr">
        <is>
          <t>Frank Lanzilote DO-Family Practice</t>
        </is>
      </c>
      <c r="B12" s="6" t="inlineStr">
        <is>
          <t>1d143d90-6122-41e7-ae14-c14d4e4317b4</t>
        </is>
      </c>
      <c r="C12" s="6" t="inlineStr">
        <is>
          <t>PCP</t>
        </is>
      </c>
      <c r="D12" s="6" t="inlineStr">
        <is>
          <t>Tier 1</t>
        </is>
      </c>
      <c r="E12" s="6" t="inlineStr">
        <is>
          <t>Repeat Spine Referrer</t>
        </is>
      </c>
      <c r="F12" s="6" t="n">
        <v>84</v>
      </c>
      <c r="G12" s="6" t="n">
        <v>2</v>
      </c>
      <c r="H12" s="6" t="inlineStr">
        <is>
          <t>18</t>
        </is>
      </c>
      <c r="I12" s="6" t="inlineStr">
        <is>
          <t>23</t>
        </is>
      </c>
      <c r="J12" s="6" t="inlineStr">
        <is>
          <t>2026-06-12</t>
        </is>
      </c>
      <c r="K12" s="6" t="inlineStr">
        <is>
          <t>2026-05-21</t>
        </is>
      </c>
      <c r="L12" s="6" t="inlineStr">
        <is>
          <t>56</t>
        </is>
      </c>
      <c r="M12" s="6" t="inlineStr">
        <is>
          <t>15</t>
        </is>
      </c>
      <c r="N12" s="6" t="inlineStr">
        <is>
          <t>14</t>
        </is>
      </c>
      <c r="O12" s="6" t="inlineStr">
        <is>
          <t>J-D11</t>
        </is>
      </c>
      <c r="P12" s="6" t="inlineStr">
        <is>
          <t>Detroit</t>
        </is>
      </c>
      <c r="Q12" s="6" t="inlineStr">
        <is>
          <t>16226 Grand River Ave, Detroit, Michigan, 48227</t>
        </is>
      </c>
      <c r="R12" s="6" t="inlineStr">
        <is>
          <t>Pooja Kodali, MD (2 spine)</t>
        </is>
      </c>
      <c r="S12" s="6" t="inlineStr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>
      <c r="A13" s="6" t="inlineStr">
        <is>
          <t>Grand River Medical Associates</t>
        </is>
      </c>
      <c r="B13" s="6" t="inlineStr">
        <is>
          <t>218209bd-0e83-4585-b5e7-1455814e77b1</t>
        </is>
      </c>
      <c r="C13" s="6" t="inlineStr">
        <is>
          <t>PCP</t>
        </is>
      </c>
      <c r="D13" s="6" t="inlineStr">
        <is>
          <t>Tier 1</t>
        </is>
      </c>
      <c r="E13" s="6" t="inlineStr">
        <is>
          <t>Repeat Spine Referrer</t>
        </is>
      </c>
      <c r="F13" s="6" t="n">
        <v>82</v>
      </c>
      <c r="G13" s="6" t="n">
        <v>2</v>
      </c>
      <c r="H13" s="6" t="inlineStr">
        <is>
          <t>0</t>
        </is>
      </c>
      <c r="I13" s="6" t="inlineStr">
        <is>
          <t>2</t>
        </is>
      </c>
      <c r="J13" s="6" t="inlineStr">
        <is>
          <t>2026-06-30</t>
        </is>
      </c>
      <c r="K13" s="6" t="inlineStr">
        <is>
          <t>2026-04-14</t>
        </is>
      </c>
      <c r="L13" s="6" t="inlineStr">
        <is>
          <t>93</t>
        </is>
      </c>
      <c r="M13" s="6" t="inlineStr">
        <is>
          <t>73.5</t>
        </is>
      </c>
      <c r="N13" s="6" t="inlineStr">
        <is>
          <t>14</t>
        </is>
      </c>
      <c r="O13" s="6" t="inlineStr">
        <is>
          <t>J-D12</t>
        </is>
      </c>
      <c r="P13" s="6" t="inlineStr">
        <is>
          <t>New Hudson</t>
        </is>
      </c>
      <c r="Q13" s="6" t="inlineStr">
        <is>
          <t>55840 Grand River Ave ste 300, New Hudson, Michigan, 48165</t>
        </is>
      </c>
      <c r="R13" s="6" t="inlineStr">
        <is>
          <t>Jamie G Taweel, DO (2 spine)</t>
        </is>
      </c>
      <c r="S13" s="6" t="inlineStr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>
      <c r="A14" s="6" t="inlineStr">
        <is>
          <t>Livonia Family Medical Center</t>
        </is>
      </c>
      <c r="B14" s="6" t="inlineStr">
        <is>
          <t>68ceff67-99ac-4ef7-a162-918f93bbdf38</t>
        </is>
      </c>
      <c r="C14" s="6" t="inlineStr">
        <is>
          <t>PCP</t>
        </is>
      </c>
      <c r="D14" s="6" t="inlineStr">
        <is>
          <t>Tier 1</t>
        </is>
      </c>
      <c r="E14" s="6" t="inlineStr">
        <is>
          <t>One Spine Patient</t>
        </is>
      </c>
      <c r="F14" s="6" t="n">
        <v>72</v>
      </c>
      <c r="G14" s="6" t="n">
        <v>1</v>
      </c>
      <c r="H14" s="6" t="inlineStr">
        <is>
          <t>1</t>
        </is>
      </c>
      <c r="I14" s="6" t="inlineStr">
        <is>
          <t>3</t>
        </is>
      </c>
      <c r="J14" s="6" t="inlineStr">
        <is>
          <t>2026-05-05</t>
        </is>
      </c>
      <c r="K14" s="6" t="inlineStr">
        <is>
          <t>2026-06-26</t>
        </is>
      </c>
      <c r="L14" s="6" t="inlineStr">
        <is>
          <t>20</t>
        </is>
      </c>
      <c r="M14" s="6" t="inlineStr">
        <is>
          <t>27</t>
        </is>
      </c>
      <c r="N14" s="6" t="inlineStr">
        <is>
          <t>14</t>
        </is>
      </c>
      <c r="O14" s="6" t="inlineStr">
        <is>
          <t>J-D04</t>
        </is>
      </c>
      <c r="P14" s="6" t="inlineStr">
        <is>
          <t>Livonia</t>
        </is>
      </c>
      <c r="Q14" s="6" t="inlineStr">
        <is>
          <t>28701 Plymouth Rd, Livonia, Michigan, 48150</t>
        </is>
      </c>
      <c r="R14" s="6" t="inlineStr">
        <is>
          <t>Keith M Tobin, DO (1 spine) · Michael Burry, DO (1 ortho)</t>
        </is>
      </c>
      <c r="S14" s="6" t="inlineStr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>
      <c r="A15" s="6" t="inlineStr">
        <is>
          <t>Core Institute/Henry Ford Motor City Orthopedics &amp; PT- Southfield</t>
        </is>
      </c>
      <c r="B15" s="6" t="inlineStr">
        <is>
          <t>b2290856-de23-4322-aabc-b2436529feac</t>
        </is>
      </c>
      <c r="C15" s="6" t="inlineStr">
        <is>
          <t>Orthopedic</t>
        </is>
      </c>
      <c r="D15" s="6" t="inlineStr">
        <is>
          <t>Tier 1</t>
        </is>
      </c>
      <c r="E15" s="6" t="inlineStr">
        <is>
          <t>One Spine Patient</t>
        </is>
      </c>
      <c r="F15" s="6" t="n">
        <v>72</v>
      </c>
      <c r="G15" s="6" t="n">
        <v>1</v>
      </c>
      <c r="H15" s="6" t="inlineStr">
        <is>
          <t>0</t>
        </is>
      </c>
      <c r="I15" s="6" t="inlineStr">
        <is>
          <t>1</t>
        </is>
      </c>
      <c r="J15" s="6" t="inlineStr">
        <is>
          <t>2026-05-12</t>
        </is>
      </c>
      <c r="K15" s="6" t="inlineStr">
        <is>
          <t>2026-07-09</t>
        </is>
      </c>
      <c r="L15" s="6" t="inlineStr">
        <is>
          <t>7</t>
        </is>
      </c>
      <c r="M15" s="6" t="inlineStr">
        <is>
          <t>28</t>
        </is>
      </c>
      <c r="N15" s="6" t="inlineStr">
        <is>
          <t>14</t>
        </is>
      </c>
      <c r="O15" s="6" t="inlineStr">
        <is>
          <t>J-D06</t>
        </is>
      </c>
      <c r="P15" s="6" t="inlineStr">
        <is>
          <t>Southfield</t>
        </is>
      </c>
      <c r="Q15" s="6" t="inlineStr">
        <is>
          <t>22250 Providence Drive, ste 401, Southfield, Michigan, 48075</t>
        </is>
      </c>
      <c r="R15" s="6" t="inlineStr">
        <is>
          <t>Nick Bolz, MD (1 spine)</t>
        </is>
      </c>
      <c r="S15" s="6" t="inlineStr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>
      <c r="A16" s="6" t="inlineStr">
        <is>
          <t>COREWELL HEALTH  INTERNAL MEDICINE DEARBORN</t>
        </is>
      </c>
      <c r="B16" s="6" t="inlineStr">
        <is>
          <t>9d286e7b-6017-417c-8a6b-763fe942c9c2</t>
        </is>
      </c>
      <c r="C16" s="6" t="inlineStr">
        <is>
          <t>PCP</t>
        </is>
      </c>
      <c r="D16" s="6" t="inlineStr">
        <is>
          <t>Tier 1</t>
        </is>
      </c>
      <c r="E16" s="6" t="inlineStr">
        <is>
          <t>One Spine Patient</t>
        </is>
      </c>
      <c r="F16" s="6" t="n">
        <v>72</v>
      </c>
      <c r="G16" s="6" t="n">
        <v>1</v>
      </c>
      <c r="H16" s="6" t="inlineStr">
        <is>
          <t>0</t>
        </is>
      </c>
      <c r="I16" s="6" t="inlineStr">
        <is>
          <t>1</t>
        </is>
      </c>
      <c r="J16" s="6" t="inlineStr">
        <is>
          <t>2026-04-29</t>
        </is>
      </c>
      <c r="K16" s="6" t="inlineStr">
        <is>
          <t>2026-07-14</t>
        </is>
      </c>
      <c r="L16" s="6" t="inlineStr">
        <is>
          <t>2</t>
        </is>
      </c>
      <c r="M16" s="6" t="inlineStr">
        <is>
          <t>35</t>
        </is>
      </c>
      <c r="N16" s="6" t="inlineStr">
        <is>
          <t>14</t>
        </is>
      </c>
      <c r="O16" s="6" t="inlineStr">
        <is>
          <t>J-D13</t>
        </is>
      </c>
      <c r="P16" s="6" t="inlineStr">
        <is>
          <t>Dearborn</t>
        </is>
      </c>
      <c r="Q16" s="6" t="inlineStr">
        <is>
          <t>17000 Hubbard Dr, Dearborn, Michigan, 48126</t>
        </is>
      </c>
      <c r="R16" s="6" t="inlineStr">
        <is>
          <t>Sarah Zoabi, MD (1 spine)</t>
        </is>
      </c>
      <c r="S16" s="6" t="inlineStr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>
      <c r="A17" s="6" t="inlineStr">
        <is>
          <t>Roberts Orthopedic Services</t>
        </is>
      </c>
      <c r="B17" s="6" t="inlineStr">
        <is>
          <t>680822f2-58d4-4f67-b09b-01ccd6f95892</t>
        </is>
      </c>
      <c r="C17" s="6" t="inlineStr">
        <is>
          <t>Orthopedic</t>
        </is>
      </c>
      <c r="D17" s="6" t="inlineStr">
        <is>
          <t>Tier 1</t>
        </is>
      </c>
      <c r="E17" s="6" t="inlineStr">
        <is>
          <t>One Spine Patient</t>
        </is>
      </c>
      <c r="F17" s="6" t="n">
        <v>72</v>
      </c>
      <c r="G17" s="6" t="n">
        <v>1</v>
      </c>
      <c r="H17" s="6" t="inlineStr">
        <is>
          <t>0</t>
        </is>
      </c>
      <c r="I17" s="6" t="inlineStr">
        <is>
          <t>1</t>
        </is>
      </c>
      <c r="J17" s="6" t="inlineStr">
        <is>
          <t>2026-05-22</t>
        </is>
      </c>
      <c r="K17" s="6" t="inlineStr">
        <is>
          <t>2026-06-30</t>
        </is>
      </c>
      <c r="L17" s="6" t="inlineStr">
        <is>
          <t>16</t>
        </is>
      </c>
      <c r="M17" s="6" t="inlineStr">
        <is>
          <t>37</t>
        </is>
      </c>
      <c r="N17" s="6" t="inlineStr">
        <is>
          <t>14</t>
        </is>
      </c>
      <c r="O17" s="6" t="inlineStr">
        <is>
          <t>J-D14</t>
        </is>
      </c>
      <c r="P17" s="6" t="inlineStr">
        <is>
          <t>Southfield</t>
        </is>
      </c>
      <c r="Q17" s="6" t="inlineStr">
        <is>
          <t>27207 Lahser Rd, Southfield, Michigan, 48034</t>
        </is>
      </c>
      <c r="R17" s="6" t="inlineStr">
        <is>
          <t>Jonathan Kyulu Nzoma (1 spine)</t>
        </is>
      </c>
      <c r="S17" s="6" t="inlineStr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>
      <c r="A18" s="6" t="inlineStr">
        <is>
          <t>Trinity Health IHA Medical Group Primary Care - Canton</t>
        </is>
      </c>
      <c r="B18" s="6" t="inlineStr">
        <is>
          <t>25a91d51-ca80-40cd-88ea-8b37beaa2ea8</t>
        </is>
      </c>
      <c r="C18" s="6" t="inlineStr">
        <is>
          <t>PCP</t>
        </is>
      </c>
      <c r="D18" s="6" t="inlineStr">
        <is>
          <t>Tier 1</t>
        </is>
      </c>
      <c r="E18" s="6" t="inlineStr">
        <is>
          <t>One Spine Patient</t>
        </is>
      </c>
      <c r="F18" s="6" t="n">
        <v>72</v>
      </c>
      <c r="G18" s="6" t="n">
        <v>1</v>
      </c>
      <c r="H18" s="6" t="inlineStr">
        <is>
          <t>0</t>
        </is>
      </c>
      <c r="I18" s="6" t="inlineStr">
        <is>
          <t>1</t>
        </is>
      </c>
      <c r="J18" s="6" t="inlineStr">
        <is>
          <t>2026-07-06</t>
        </is>
      </c>
      <c r="K18" s="6" t="inlineStr">
        <is>
          <t>2026-07-15</t>
        </is>
      </c>
      <c r="L18" s="6" t="inlineStr">
        <is>
          <t>1</t>
        </is>
      </c>
      <c r="M18" s="6" t="inlineStr">
        <is>
          <t>31</t>
        </is>
      </c>
      <c r="N18" s="6" t="inlineStr">
        <is>
          <t>14</t>
        </is>
      </c>
      <c r="O18" s="6" t="inlineStr">
        <is>
          <t>J-D15</t>
        </is>
      </c>
      <c r="P18" s="6" t="inlineStr">
        <is>
          <t>CANTON</t>
        </is>
      </c>
      <c r="Q18" s="6" t="inlineStr">
        <is>
          <t>1600 S Canton Center Road, Suite 200, CANTON, Michigan, 48188</t>
        </is>
      </c>
      <c r="R18" s="6" t="inlineStr">
        <is>
          <t>Yujing Murray, MD (1 spine)</t>
        </is>
      </c>
      <c r="S18" s="6" t="inlineStr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>
      <c r="A19" s="6" t="inlineStr">
        <is>
          <t>Trinity Health IHA Medical Group, Primary Care - Southeast Livonia</t>
        </is>
      </c>
      <c r="B19" s="6" t="inlineStr">
        <is>
          <t>6b70f9d5-4063-4208-85f4-1d780fabaacc</t>
        </is>
      </c>
      <c r="C19" s="6" t="inlineStr">
        <is>
          <t>PCP</t>
        </is>
      </c>
      <c r="D19" s="6" t="inlineStr">
        <is>
          <t>Tier 1</t>
        </is>
      </c>
      <c r="E19" s="6" t="inlineStr">
        <is>
          <t>One Spine Patient</t>
        </is>
      </c>
      <c r="F19" s="6" t="n">
        <v>72</v>
      </c>
      <c r="G19" s="6" t="n">
        <v>1</v>
      </c>
      <c r="H19" s="6" t="inlineStr">
        <is>
          <t>2</t>
        </is>
      </c>
      <c r="I19" s="6" t="inlineStr">
        <is>
          <t>3</t>
        </is>
      </c>
      <c r="J19" s="6" t="inlineStr">
        <is>
          <t>2026-05-18</t>
        </is>
      </c>
      <c r="K19" s="6" t="inlineStr">
        <is>
          <t>2026-06-26</t>
        </is>
      </c>
      <c r="L19" s="6" t="inlineStr">
        <is>
          <t>20</t>
        </is>
      </c>
      <c r="M19" s="6" t="inlineStr">
        <is>
          <t>30</t>
        </is>
      </c>
      <c r="N19" s="6" t="inlineStr">
        <is>
          <t>14</t>
        </is>
      </c>
      <c r="O19" s="6" t="inlineStr">
        <is>
          <t>J-D16</t>
        </is>
      </c>
      <c r="P19" s="6" t="inlineStr">
        <is>
          <t>Livonia</t>
        </is>
      </c>
      <c r="Q19" s="6" t="inlineStr">
        <is>
          <t>29370 Plymouth Road, Livonia, Michigan, 48150</t>
        </is>
      </c>
      <c r="R19" s="6" t="inlineStr">
        <is>
          <t>Erin Walton Doyle, MD (1 spine) · Candace Cooper, DO (1 ortho) · Rachel B Marcucci, MD (1 ortho)</t>
        </is>
      </c>
      <c r="S19" s="6" t="inlineStr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>
      <c r="A20" s="6" t="inlineStr">
        <is>
          <t>Corwell health orthopedics Canton</t>
        </is>
      </c>
      <c r="B20" s="6" t="inlineStr">
        <is>
          <t>48d727c6-d942-4dbb-b457-0839ac8e1b68</t>
        </is>
      </c>
      <c r="C20" s="6" t="inlineStr">
        <is>
          <t>Orthopedic</t>
        </is>
      </c>
      <c r="D20" s="6" t="inlineStr">
        <is>
          <t>Tier 1</t>
        </is>
      </c>
      <c r="E20" s="6" t="inlineStr">
        <is>
          <t>One Spine Patient</t>
        </is>
      </c>
      <c r="F20" s="6" t="n">
        <v>71</v>
      </c>
      <c r="G20" s="6" t="n">
        <v>1</v>
      </c>
      <c r="H20" s="6" t="inlineStr">
        <is>
          <t>0</t>
        </is>
      </c>
      <c r="I20" s="6" t="inlineStr">
        <is>
          <t>1</t>
        </is>
      </c>
      <c r="J20" s="6" t="inlineStr">
        <is>
          <t>2026-02-04</t>
        </is>
      </c>
      <c r="K20" s="6" t="inlineStr">
        <is>
          <t>2026-06-02</t>
        </is>
      </c>
      <c r="L20" s="6" t="inlineStr">
        <is>
          <t>44</t>
        </is>
      </c>
      <c r="M20" s="6" t="inlineStr">
        <is>
          <t>51</t>
        </is>
      </c>
      <c r="N20" s="6" t="inlineStr">
        <is>
          <t>14</t>
        </is>
      </c>
      <c r="O20" s="6" t="inlineStr">
        <is>
          <t>J-D01</t>
        </is>
      </c>
      <c r="P20" s="6" t="inlineStr">
        <is>
          <t>Canton</t>
        </is>
      </c>
      <c r="Q20" s="6" t="inlineStr">
        <is>
          <t>2050 North Haggerty Road, Canton, Michigan, 48187</t>
        </is>
      </c>
      <c r="R20" s="6" t="inlineStr">
        <is>
          <t>Khalid Odeh, MD (1 spine)</t>
        </is>
      </c>
      <c r="S20" s="6" t="inlineStr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>
      <c r="A21" s="6" t="inlineStr">
        <is>
          <t>Lakes Urgent Care - Livonia</t>
        </is>
      </c>
      <c r="B21" s="6" t="inlineStr">
        <is>
          <t>73107e68-fc7f-46d0-bef4-ee26e9dc0099</t>
        </is>
      </c>
      <c r="C21" s="6" t="inlineStr">
        <is>
          <t>Urgent Care</t>
        </is>
      </c>
      <c r="D21" s="6" t="inlineStr">
        <is>
          <t>Tier 1</t>
        </is>
      </c>
      <c r="E21" s="6" t="inlineStr">
        <is>
          <t>One Spine Patient</t>
        </is>
      </c>
      <c r="F21" s="6" t="n">
        <v>71</v>
      </c>
      <c r="G21" s="6" t="n">
        <v>1</v>
      </c>
      <c r="H21" s="6" t="inlineStr">
        <is>
          <t>28</t>
        </is>
      </c>
      <c r="I21" s="6" t="inlineStr">
        <is>
          <t>32</t>
        </is>
      </c>
      <c r="J21" s="6" t="inlineStr">
        <is>
          <t>2026-07-06</t>
        </is>
      </c>
      <c r="K21" s="6" t="inlineStr">
        <is>
          <t>2026-06-09</t>
        </is>
      </c>
      <c r="L21" s="6" t="inlineStr">
        <is>
          <t>37</t>
        </is>
      </c>
      <c r="M21" s="6" t="inlineStr">
        <is>
          <t>15</t>
        </is>
      </c>
      <c r="N21" s="6" t="inlineStr">
        <is>
          <t>14</t>
        </is>
      </c>
      <c r="O21" s="6" t="inlineStr">
        <is>
          <t>J-D17</t>
        </is>
      </c>
      <c r="P21" s="6" t="inlineStr">
        <is>
          <t>Livonia</t>
        </is>
      </c>
      <c r="Q21" s="6" t="inlineStr">
        <is>
          <t>36650 Five Mile Rd suite 106, Livonia, Michigan, 48154</t>
        </is>
      </c>
      <c r="R21" s="6" t="inlineStr">
        <is>
          <t>Lakes Urgent Care (1 spine) · Lakes Urgent Care Livonia (1 ortho)</t>
        </is>
      </c>
      <c r="S21" s="6" t="inlineStr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>
      <c r="A22" s="6" t="inlineStr">
        <is>
          <t>APOLLO HEALTH SERVICES, PC</t>
        </is>
      </c>
      <c r="B22" s="6" t="inlineStr">
        <is>
          <t>1689099f-fc6b-4174-9111-5dce70adbd66</t>
        </is>
      </c>
      <c r="C22" s="6" t="inlineStr">
        <is>
          <t>PCP</t>
        </is>
      </c>
      <c r="D22" s="6" t="inlineStr">
        <is>
          <t>Tier 1</t>
        </is>
      </c>
      <c r="E22" s="6" t="inlineStr">
        <is>
          <t>One Spine Patient</t>
        </is>
      </c>
      <c r="F22" s="6" t="n">
        <v>70</v>
      </c>
      <c r="G22" s="6" t="n">
        <v>1</v>
      </c>
      <c r="H22" s="6" t="inlineStr">
        <is>
          <t>0</t>
        </is>
      </c>
      <c r="I22" s="6" t="inlineStr">
        <is>
          <t>1</t>
        </is>
      </c>
      <c r="J22" s="6" t="inlineStr">
        <is>
          <t>2026-03-31</t>
        </is>
      </c>
      <c r="K22" s="6" t="inlineStr">
        <is>
          <t>2026-04-23</t>
        </is>
      </c>
      <c r="L22" s="6" t="inlineStr">
        <is>
          <t>84</t>
        </is>
      </c>
      <c r="M22" s="6" t="inlineStr">
        <is>
          <t>85</t>
        </is>
      </c>
      <c r="N22" s="6" t="inlineStr">
        <is>
          <t>14</t>
        </is>
      </c>
      <c r="O22" s="6" t="inlineStr">
        <is>
          <t>J-D02</t>
        </is>
      </c>
      <c r="P22" s="6" t="inlineStr">
        <is>
          <t>GARDEN CITY</t>
        </is>
      </c>
      <c r="Q22" s="6" t="inlineStr">
        <is>
          <t>5823 MIDDLEBELT RD, GARDEN CITY, MI, 48135</t>
        </is>
      </c>
      <c r="R22" s="6" t="inlineStr">
        <is>
          <t>Sujata Kambhatla, MD (1 spine)</t>
        </is>
      </c>
      <c r="S22" s="6" t="inlineStr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>
      <c r="A23" s="6" t="inlineStr">
        <is>
          <t>Corewell Health Wayne Hospital Family Medicine -  Canton</t>
        </is>
      </c>
      <c r="B23" s="6" t="inlineStr">
        <is>
          <t>1022591b-a2f2-47ed-a718-e764042f930d</t>
        </is>
      </c>
      <c r="C23" s="6" t="inlineStr">
        <is>
          <t>PCP</t>
        </is>
      </c>
      <c r="D23" s="6" t="inlineStr">
        <is>
          <t>Tier 1</t>
        </is>
      </c>
      <c r="E23" s="6" t="inlineStr">
        <is>
          <t>One Spine Patient</t>
        </is>
      </c>
      <c r="F23" s="6" t="n">
        <v>70</v>
      </c>
      <c r="G23" s="6" t="n">
        <v>1</v>
      </c>
      <c r="H23" s="6" t="inlineStr">
        <is>
          <t>1</t>
        </is>
      </c>
      <c r="I23" s="6" t="inlineStr">
        <is>
          <t>3</t>
        </is>
      </c>
      <c r="J23" s="6" t="inlineStr">
        <is>
          <t>2026-05-29</t>
        </is>
      </c>
      <c r="K23" s="6" t="inlineStr">
        <is>
          <t>2026-06-02</t>
        </is>
      </c>
      <c r="L23" s="6" t="inlineStr">
        <is>
          <t>44</t>
        </is>
      </c>
      <c r="M23" s="6" t="inlineStr">
        <is>
          <t>23</t>
        </is>
      </c>
      <c r="N23" s="6" t="inlineStr">
        <is>
          <t>14</t>
        </is>
      </c>
      <c r="O23" s="6" t="inlineStr">
        <is>
          <t>J-D03</t>
        </is>
      </c>
      <c r="P23" s="6" t="inlineStr">
        <is>
          <t>CANTON</t>
        </is>
      </c>
      <c r="Q23" s="6" t="inlineStr">
        <is>
          <t>7330 N CANTON CENTER RD STE 111, CANTON, MI, 48187</t>
        </is>
      </c>
      <c r="R23" s="6" t="inlineStr">
        <is>
          <t>Mushahid Raza, MD (1 spine) · Iman Choucair, DO</t>
        </is>
      </c>
      <c r="S23" s="6" t="inlineStr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>
      <c r="A24" s="6" t="inlineStr">
        <is>
          <t>Eastpointe Family Physicians</t>
        </is>
      </c>
      <c r="B24" s="6" t="inlineStr">
        <is>
          <t>1578685921</t>
        </is>
      </c>
      <c r="C24" s="6" t="inlineStr">
        <is>
          <t>PCP</t>
        </is>
      </c>
      <c r="D24" s="6" t="inlineStr">
        <is>
          <t>Tier 1</t>
        </is>
      </c>
      <c r="E24" s="6" t="inlineStr">
        <is>
          <t>One Spine Patient</t>
        </is>
      </c>
      <c r="F24" s="6" t="n">
        <v>70</v>
      </c>
      <c r="G24" s="6" t="n">
        <v>1</v>
      </c>
      <c r="H24" s="6" t="inlineStr">
        <is>
          <t>2</t>
        </is>
      </c>
      <c r="I24" s="6" t="inlineStr">
        <is>
          <t>4</t>
        </is>
      </c>
      <c r="J24" s="6" t="inlineStr">
        <is>
          <t>2026-05-15</t>
        </is>
      </c>
      <c r="K24" s="6" t="inlineStr">
        <is>
          <t>2026-05-12</t>
        </is>
      </c>
      <c r="L24" s="6" t="inlineStr">
        <is>
          <t>65</t>
        </is>
      </c>
      <c r="M24" s="6" t="inlineStr">
        <is>
          <t>22</t>
        </is>
      </c>
      <c r="N24" s="6" t="inlineStr">
        <is>
          <t>14</t>
        </is>
      </c>
      <c r="O24" s="6" t="inlineStr">
        <is>
          <t>J-D05</t>
        </is>
      </c>
      <c r="P24" s="6" t="inlineStr">
        <is>
          <t>Eastpointe</t>
        </is>
      </c>
      <c r="Q24" s="6" t="inlineStr">
        <is>
          <t>24901 Kelly Rd, Eastpointe, MI, 48021</t>
        </is>
      </c>
      <c r="R24" s="6" t="inlineStr">
        <is>
          <t>Andrea Zinke Fnp Bc (1 spine) · Haley Pope, DO</t>
        </is>
      </c>
      <c r="S24" s="6" t="inlineStr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>
      <c r="A25" s="6" t="inlineStr">
        <is>
          <t>DEARBORN FAMILY CLINIC, PC</t>
        </is>
      </c>
      <c r="B25" s="6" t="inlineStr">
        <is>
          <t>a7a3d5c1-7a49-46bc-b9ad-08cbe9188e80</t>
        </is>
      </c>
      <c r="C25" s="6" t="inlineStr">
        <is>
          <t>Orthopedic</t>
        </is>
      </c>
      <c r="D25" s="6" t="inlineStr">
        <is>
          <t>Tier 1</t>
        </is>
      </c>
      <c r="E25" s="6" t="inlineStr">
        <is>
          <t>One Spine Patient</t>
        </is>
      </c>
      <c r="F25" s="6" t="n">
        <v>70</v>
      </c>
      <c r="G25" s="6" t="n">
        <v>1</v>
      </c>
      <c r="H25" s="6" t="inlineStr">
        <is>
          <t>1</t>
        </is>
      </c>
      <c r="I25" s="6" t="inlineStr">
        <is>
          <t>3</t>
        </is>
      </c>
      <c r="J25" s="6" t="inlineStr">
        <is>
          <t>2026-04-15</t>
        </is>
      </c>
      <c r="K25" s="6" t="inlineStr">
        <is>
          <t>2026-04-20</t>
        </is>
      </c>
      <c r="L25" s="6" t="inlineStr">
        <is>
          <t>87</t>
        </is>
      </c>
      <c r="M25" s="6" t="inlineStr">
        <is>
          <t>49</t>
        </is>
      </c>
      <c r="N25" s="6" t="inlineStr">
        <is>
          <t>14</t>
        </is>
      </c>
      <c r="O25" s="6" t="inlineStr">
        <is>
          <t>J-D07</t>
        </is>
      </c>
      <c r="P25" s="6" t="inlineStr">
        <is>
          <t>Dearborn</t>
        </is>
      </c>
      <c r="Q25" s="6" t="inlineStr">
        <is>
          <t>3133 South Telegraph Road, Dearborn, Michigan, 48124</t>
        </is>
      </c>
      <c r="R25" s="6" t="inlineStr">
        <is>
          <t>Howard Wright, DO (1 spine) · Angela Harris, MD (1 ortho)</t>
        </is>
      </c>
      <c r="S25" s="6" t="inlineStr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>
      <c r="A26" s="6" t="inlineStr">
        <is>
          <t>A1 Family Medicine</t>
        </is>
      </c>
      <c r="B26" s="6" t="inlineStr">
        <is>
          <t>b1a9167c-0bb6-47bd-b50a-ff18a973875f</t>
        </is>
      </c>
      <c r="C26" s="6" t="inlineStr">
        <is>
          <t>PCP</t>
        </is>
      </c>
      <c r="D26" s="6" t="inlineStr">
        <is>
          <t>Tier 1</t>
        </is>
      </c>
      <c r="E26" s="6" t="inlineStr">
        <is>
          <t>One Spine Patient</t>
        </is>
      </c>
      <c r="F26" s="6" t="n">
        <v>70</v>
      </c>
      <c r="G26" s="6" t="n">
        <v>1</v>
      </c>
      <c r="H26" s="6" t="inlineStr">
        <is>
          <t>2</t>
        </is>
      </c>
      <c r="I26" s="6" t="inlineStr">
        <is>
          <t>3</t>
        </is>
      </c>
      <c r="J26" s="6" t="inlineStr">
        <is>
          <t>2026-06-30</t>
        </is>
      </c>
      <c r="K26" s="6" t="inlineStr">
        <is>
          <t>2026-07-02</t>
        </is>
      </c>
      <c r="L26" s="6" t="inlineStr">
        <is>
          <t>14</t>
        </is>
      </c>
      <c r="M26" s="6" t="inlineStr">
        <is>
          <t>60</t>
        </is>
      </c>
      <c r="N26" s="6" t="inlineStr">
        <is>
          <t>14</t>
        </is>
      </c>
      <c r="O26" s="6" t="inlineStr">
        <is>
          <t>J-D18</t>
        </is>
      </c>
      <c r="P26" s="6" t="inlineStr">
        <is>
          <t>Canton</t>
        </is>
      </c>
      <c r="Q26" s="6" t="inlineStr">
        <is>
          <t>2050 N Haggerty Rd, Canton, Michigan, 48187</t>
        </is>
      </c>
      <c r="R26" s="6" t="inlineStr">
        <is>
          <t>Purvi Dharia, MD (1 spine)</t>
        </is>
      </c>
      <c r="S26" s="6" t="inlineStr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>
      <c r="A27" s="6" t="inlineStr">
        <is>
          <t>BEAUMONT FAMILY MEDICINE BELLEVILLE</t>
        </is>
      </c>
      <c r="B27" s="6" t="inlineStr">
        <is>
          <t>61a031d7-889d-4b90-8391-8647f4be87ec</t>
        </is>
      </c>
      <c r="C27" s="6" t="inlineStr">
        <is>
          <t>PCP</t>
        </is>
      </c>
      <c r="D27" s="6" t="inlineStr">
        <is>
          <t>Tier 1</t>
        </is>
      </c>
      <c r="E27" s="6" t="inlineStr">
        <is>
          <t>One Spine Patient</t>
        </is>
      </c>
      <c r="F27" s="6" t="n">
        <v>70</v>
      </c>
      <c r="G27" s="6" t="n">
        <v>1</v>
      </c>
      <c r="H27" s="6" t="inlineStr">
        <is>
          <t>3</t>
        </is>
      </c>
      <c r="I27" s="6" t="inlineStr">
        <is>
          <t>5</t>
        </is>
      </c>
      <c r="J27" s="6" t="inlineStr">
        <is>
          <t>2026-05-18</t>
        </is>
      </c>
      <c r="K27" s="6" t="inlineStr">
        <is>
          <t>2026-05-29</t>
        </is>
      </c>
      <c r="L27" s="6" t="inlineStr">
        <is>
          <t>48</t>
        </is>
      </c>
      <c r="M27" s="6" t="inlineStr">
        <is>
          <t>59</t>
        </is>
      </c>
      <c r="N27" s="6" t="inlineStr">
        <is>
          <t>14</t>
        </is>
      </c>
      <c r="O27" s="6" t="inlineStr">
        <is>
          <t>J-D19</t>
        </is>
      </c>
      <c r="P27" s="6" t="inlineStr">
        <is>
          <t>BELLEVILLE</t>
        </is>
      </c>
      <c r="Q27" s="6" t="inlineStr">
        <is>
          <t>201 3RD ST STE 200, BELLEVILLE, Michigan</t>
        </is>
      </c>
      <c r="R27" s="6" t="inlineStr">
        <is>
          <t>David Julian Szaraz, MD (1 spine) · Chin Yi, MD (3 ortho)</t>
        </is>
      </c>
      <c r="S27" s="6" t="inlineStr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6" t="inlineStr">
        <is>
          <t>Karma Internists</t>
        </is>
      </c>
      <c r="B28" s="6" t="inlineStr">
        <is>
          <t>9e6bf540-edd8-4135-9b33-cef5e4fbcc2c</t>
        </is>
      </c>
      <c r="C28" s="6" t="inlineStr">
        <is>
          <t>PCP</t>
        </is>
      </c>
      <c r="D28" s="6" t="inlineStr">
        <is>
          <t>Tier 1</t>
        </is>
      </c>
      <c r="E28" s="6" t="inlineStr">
        <is>
          <t>One Spine Patient</t>
        </is>
      </c>
      <c r="F28" s="6" t="n">
        <v>70</v>
      </c>
      <c r="G28" s="6" t="n">
        <v>1</v>
      </c>
      <c r="H28" s="6" t="inlineStr">
        <is>
          <t>0</t>
        </is>
      </c>
      <c r="I28" s="6" t="inlineStr">
        <is>
          <t>1</t>
        </is>
      </c>
      <c r="J28" s="6" t="inlineStr">
        <is>
          <t>2026-03-26</t>
        </is>
      </c>
      <c r="K28" s="6" t="inlineStr">
        <is>
          <t>2026-06-04</t>
        </is>
      </c>
      <c r="L28" s="6" t="inlineStr">
        <is>
          <t>42</t>
        </is>
      </c>
      <c r="M28" s="6" t="inlineStr">
        <is>
          <t>2</t>
        </is>
      </c>
      <c r="N28" s="6" t="inlineStr">
        <is>
          <t>14</t>
        </is>
      </c>
      <c r="O28" s="6" t="inlineStr">
        <is>
          <t>J-D20</t>
        </is>
      </c>
      <c r="P28" s="6" t="inlineStr">
        <is>
          <t>NOVI</t>
        </is>
      </c>
      <c r="Q28" s="6" t="inlineStr">
        <is>
          <t>26850 PROVIDENCE PKWY STE 420, NOVI, Michigan, 48374</t>
        </is>
      </c>
      <c r="R28" s="6" t="inlineStr">
        <is>
          <t>Anvita B Saini, MD (1 spine)</t>
        </is>
      </c>
      <c r="S28" s="6" t="inlineStr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>
      <c r="A29" s="6" t="inlineStr">
        <is>
          <t>Plymouth physical therapy services</t>
        </is>
      </c>
      <c r="B29" s="6" t="inlineStr">
        <is>
          <t>cd5ff85f-ef03-49bb-bf33-ee98e3b500ec</t>
        </is>
      </c>
      <c r="C29" s="6" t="inlineStr">
        <is>
          <t>PT</t>
        </is>
      </c>
      <c r="D29" s="6" t="inlineStr">
        <is>
          <t>Tier 1</t>
        </is>
      </c>
      <c r="E29" s="6" t="inlineStr">
        <is>
          <t>One Spine Patient</t>
        </is>
      </c>
      <c r="F29" s="6" t="n">
        <v>69</v>
      </c>
      <c r="G29" s="6" t="n">
        <v>1</v>
      </c>
      <c r="H29" s="6" t="inlineStr">
        <is>
          <t>0</t>
        </is>
      </c>
      <c r="I29" s="6" t="inlineStr">
        <is>
          <t>1</t>
        </is>
      </c>
      <c r="J29" s="6" t="inlineStr">
        <is>
          <t>2026-06-10</t>
        </is>
      </c>
      <c r="K29" s="6" t="inlineStr">
        <is>
          <t>2026-04-23</t>
        </is>
      </c>
      <c r="L29" s="6" t="inlineStr">
        <is>
          <t>84</t>
        </is>
      </c>
      <c r="M29" s="6" t="inlineStr">
        <is>
          <t>48</t>
        </is>
      </c>
      <c r="N29" s="6" t="inlineStr">
        <is>
          <t>14</t>
        </is>
      </c>
      <c r="O29" s="6" t="inlineStr">
        <is>
          <t>J-D02</t>
        </is>
      </c>
      <c r="P29" s="6" t="inlineStr">
        <is>
          <t>Garden City</t>
        </is>
      </c>
      <c r="Q29" s="6" t="inlineStr">
        <is>
          <t>29454 Ford Road, Garden City, Michigan, 48135</t>
        </is>
      </c>
      <c r="R29" s="6" t="inlineStr">
        <is>
          <t>Nicholas Lefere, PT (1 spine)</t>
        </is>
      </c>
      <c r="S29" s="6" t="inlineStr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>
      <c r="A30" s="6" t="inlineStr">
        <is>
          <t>Park Medical Center (Medicaid)</t>
        </is>
      </c>
      <c r="B30" s="6" t="inlineStr">
        <is>
          <t>c4cc522a-15ee-4dcb-8312-cc7b7efdf995</t>
        </is>
      </c>
      <c r="C30" s="6" t="inlineStr">
        <is>
          <t>PCP</t>
        </is>
      </c>
      <c r="D30" s="6" t="inlineStr">
        <is>
          <t>Tier 1</t>
        </is>
      </c>
      <c r="E30" s="6" t="inlineStr">
        <is>
          <t>One Spine Patient</t>
        </is>
      </c>
      <c r="F30" s="6" t="n">
        <v>69</v>
      </c>
      <c r="G30" s="6" t="n">
        <v>1</v>
      </c>
      <c r="H30" s="6" t="inlineStr">
        <is>
          <t>1</t>
        </is>
      </c>
      <c r="I30" s="6" t="inlineStr">
        <is>
          <t>2</t>
        </is>
      </c>
      <c r="J30" s="6" t="inlineStr">
        <is>
          <t>2026-01-19</t>
        </is>
      </c>
      <c r="K30" s="6" t="inlineStr">
        <is>
          <t>2026-04-24</t>
        </is>
      </c>
      <c r="L30" s="6" t="inlineStr">
        <is>
          <t>83</t>
        </is>
      </c>
      <c r="M30" s="6" t="inlineStr">
        <is>
          <t>30</t>
        </is>
      </c>
      <c r="N30" s="6" t="inlineStr">
        <is>
          <t>14</t>
        </is>
      </c>
      <c r="O30" s="6" t="inlineStr">
        <is>
          <t>J-D06</t>
        </is>
      </c>
      <c r="P30" s="6" t="inlineStr">
        <is>
          <t>Detroit</t>
        </is>
      </c>
      <c r="Q30" s="6" t="inlineStr">
        <is>
          <t>12871 East Jefferson Avenue, Detroit, Michigan, 48215</t>
        </is>
      </c>
      <c r="R30" s="6" t="inlineStr">
        <is>
          <t>Richard M Brown, DO (1 spine) · Richard Brown (1 ortho)</t>
        </is>
      </c>
      <c r="S30" s="6" t="inlineStr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>
      <c r="A31" s="6" t="inlineStr">
        <is>
          <t>PelHam Primary Care</t>
        </is>
      </c>
      <c r="B31" s="6" t="inlineStr">
        <is>
          <t>d4c2e8cb-a4bb-454f-bc5c-8425cff6d293</t>
        </is>
      </c>
      <c r="C31" s="6" t="inlineStr">
        <is>
          <t>PCP</t>
        </is>
      </c>
      <c r="D31" s="6" t="inlineStr">
        <is>
          <t>Tier 1</t>
        </is>
      </c>
      <c r="E31" s="6" t="inlineStr">
        <is>
          <t>One Spine Patient</t>
        </is>
      </c>
      <c r="F31" s="6" t="n">
        <v>69</v>
      </c>
      <c r="G31" s="6" t="n">
        <v>1</v>
      </c>
      <c r="H31" s="6" t="inlineStr">
        <is>
          <t>0</t>
        </is>
      </c>
      <c r="I31" s="6" t="inlineStr">
        <is>
          <t>1</t>
        </is>
      </c>
      <c r="J31" s="6" t="inlineStr">
        <is>
          <t>2026-01-13</t>
        </is>
      </c>
      <c r="K31" s="6" t="inlineStr">
        <is>
          <t>2026-05-06</t>
        </is>
      </c>
      <c r="L31" s="6" t="inlineStr">
        <is>
          <t>71</t>
        </is>
      </c>
      <c r="M31" s="6" t="inlineStr">
        <is>
          <t>39</t>
        </is>
      </c>
      <c r="N31" s="6" t="inlineStr">
        <is>
          <t>14</t>
        </is>
      </c>
      <c r="O31" s="6" t="inlineStr">
        <is>
          <t>J-D07</t>
        </is>
      </c>
      <c r="P31" s="6" t="inlineStr">
        <is>
          <t>Dearborn</t>
        </is>
      </c>
      <c r="Q31" s="6" t="inlineStr">
        <is>
          <t>3815 Pelham Street, Dearborn, Michigan, 48124</t>
        </is>
      </c>
      <c r="R31" s="6" t="inlineStr">
        <is>
          <t>Talal Khader, MD (1 spine)</t>
        </is>
      </c>
      <c r="S31" s="6" t="inlineStr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>
      <c r="A32" s="6" t="inlineStr">
        <is>
          <t>TENNY INTERNAL MEDICINE, PLLC</t>
        </is>
      </c>
      <c r="B32" s="6" t="inlineStr">
        <is>
          <t>3effe9bc-8576-4eee-ba7e-9bf99eb7d1fa</t>
        </is>
      </c>
      <c r="C32" s="6" t="inlineStr">
        <is>
          <t>PCP</t>
        </is>
      </c>
      <c r="D32" s="6" t="inlineStr">
        <is>
          <t>Tier 1</t>
        </is>
      </c>
      <c r="E32" s="6" t="inlineStr">
        <is>
          <t>One Spine Patient</t>
        </is>
      </c>
      <c r="F32" s="6" t="n">
        <v>69</v>
      </c>
      <c r="G32" s="6" t="n">
        <v>1</v>
      </c>
      <c r="H32" s="6" t="inlineStr">
        <is>
          <t>2</t>
        </is>
      </c>
      <c r="I32" s="6" t="inlineStr">
        <is>
          <t>3</t>
        </is>
      </c>
      <c r="J32" s="6" t="inlineStr">
        <is>
          <t>2026-05-20</t>
        </is>
      </c>
      <c r="K32" s="6" t="inlineStr">
        <is>
          <t>2026-04-03</t>
        </is>
      </c>
      <c r="L32" s="6" t="inlineStr">
        <is>
          <t>104</t>
        </is>
      </c>
      <c r="M32" s="6" t="inlineStr">
        <is>
          <t>28</t>
        </is>
      </c>
      <c r="N32" s="6" t="inlineStr">
        <is>
          <t>14</t>
        </is>
      </c>
      <c r="O32" s="6" t="inlineStr">
        <is>
          <t>J-D21</t>
        </is>
      </c>
      <c r="P32" s="6" t="inlineStr">
        <is>
          <t>DEARBORN</t>
        </is>
      </c>
      <c r="Q32" s="6" t="inlineStr">
        <is>
          <t>22361 W VILLAGE DR STE 102, DEARBORN, MI, 48124</t>
        </is>
      </c>
      <c r="R32" s="6" t="inlineStr">
        <is>
          <t>Gregory Marcarian, MD (1 spine) · Michelle Levy Fnp-bc (1 ortho)</t>
        </is>
      </c>
      <c r="S32" s="6" t="inlineStr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>
      <c r="A33" s="6" t="inlineStr">
        <is>
          <t>Dedicated Senior Medical Center - Warren</t>
        </is>
      </c>
      <c r="B33" s="6" t="inlineStr">
        <is>
          <t>95ae3078-f17c-44de-af58-d9fc8e58f4de</t>
        </is>
      </c>
      <c r="C33" s="6" t="inlineStr">
        <is>
          <t>Orthopedic</t>
        </is>
      </c>
      <c r="D33" s="6" t="inlineStr">
        <is>
          <t>Tier 2</t>
        </is>
      </c>
      <c r="E33" s="6" t="inlineStr">
        <is>
          <t>Ortho Referrer</t>
        </is>
      </c>
      <c r="F33" s="6" t="n">
        <v>60</v>
      </c>
      <c r="G33" s="6" t="n">
        <v>0</v>
      </c>
      <c r="H33" s="6" t="inlineStr">
        <is>
          <t>4</t>
        </is>
      </c>
      <c r="I33" s="6" t="inlineStr">
        <is>
          <t>6</t>
        </is>
      </c>
      <c r="J33" s="6" t="inlineStr">
        <is>
          <t>2026-06-03</t>
        </is>
      </c>
      <c r="K33" s="6" t="inlineStr">
        <is>
          <t>2026-06-25</t>
        </is>
      </c>
      <c r="L33" s="6" t="inlineStr">
        <is>
          <t>21</t>
        </is>
      </c>
      <c r="M33" s="6" t="inlineStr">
        <is>
          <t>0</t>
        </is>
      </c>
      <c r="N33" s="6" t="inlineStr">
        <is>
          <t>21</t>
        </is>
      </c>
      <c r="O33" s="6" t="inlineStr">
        <is>
          <t>J-D06</t>
        </is>
      </c>
      <c r="P33" s="6" t="inlineStr">
        <is>
          <t>Warren</t>
        </is>
      </c>
      <c r="Q33" s="6" t="inlineStr">
        <is>
          <t>1921 8 Mile Road, Warren, Michigan, 48091</t>
        </is>
      </c>
      <c r="R33" s="6" t="inlineStr">
        <is>
          <t>Afshan Khan, DO (3 ortho) · Charanpreet K Khangura, DO (1 ortho)</t>
        </is>
      </c>
      <c r="S33" s="6" t="inlineStr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>
      <c r="A34" s="6" t="inlineStr">
        <is>
          <t>Corewell Health Wayne Hospital Internal Medicine - Canton</t>
        </is>
      </c>
      <c r="B34" s="6" t="inlineStr">
        <is>
          <t>1c7828ed-eebc-45ad-a838-28fbb2264e48</t>
        </is>
      </c>
      <c r="C34" s="6" t="inlineStr">
        <is>
          <t>PCP</t>
        </is>
      </c>
      <c r="D34" s="6" t="inlineStr">
        <is>
          <t>Tier 2</t>
        </is>
      </c>
      <c r="E34" s="6" t="inlineStr">
        <is>
          <t>Ortho Referrer</t>
        </is>
      </c>
      <c r="F34" s="6" t="n">
        <v>59</v>
      </c>
      <c r="G34" s="6" t="n">
        <v>0</v>
      </c>
      <c r="H34" s="6" t="inlineStr">
        <is>
          <t>5</t>
        </is>
      </c>
      <c r="I34" s="6" t="inlineStr">
        <is>
          <t>5</t>
        </is>
      </c>
      <c r="J34" s="6" t="inlineStr">
        <is>
          <t>2026-06-22</t>
        </is>
      </c>
      <c r="K34" s="6" t="inlineStr">
        <is>
          <t>2026-07-02</t>
        </is>
      </c>
      <c r="L34" s="6" t="inlineStr">
        <is>
          <t>14</t>
        </is>
      </c>
      <c r="M34" s="6" t="inlineStr">
        <is>
          <t>20</t>
        </is>
      </c>
      <c r="N34" s="6" t="inlineStr">
        <is>
          <t>21</t>
        </is>
      </c>
      <c r="O34" s="6" t="inlineStr">
        <is>
          <t>J-D03</t>
        </is>
      </c>
      <c r="P34" s="6" t="inlineStr">
        <is>
          <t>CANTON</t>
        </is>
      </c>
      <c r="Q34" s="6" t="inlineStr">
        <is>
          <t>7330 N CANTON CENTER RD STE 209, CANTON, MI, 48187</t>
        </is>
      </c>
      <c r="R34" s="6" t="inlineStr">
        <is>
          <t>Lily Go, MD (4 ortho) · Raghunath Bandri (1 ortho)</t>
        </is>
      </c>
      <c r="S34" s="6" t="inlineStr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>
      <c r="A35" s="6" t="inlineStr">
        <is>
          <t>CoreWell Health Family Medicine</t>
        </is>
      </c>
      <c r="B35" s="6" t="inlineStr">
        <is>
          <t>f8c5f64c-4cf6-463f-9090-68ac9735f08e</t>
        </is>
      </c>
      <c r="C35" s="6" t="inlineStr">
        <is>
          <t>PCP</t>
        </is>
      </c>
      <c r="D35" s="6" t="inlineStr">
        <is>
          <t>Tier 2</t>
        </is>
      </c>
      <c r="E35" s="6" t="inlineStr">
        <is>
          <t>Ortho Referrer</t>
        </is>
      </c>
      <c r="F35" s="6" t="n">
        <v>59</v>
      </c>
      <c r="G35" s="6" t="n">
        <v>0</v>
      </c>
      <c r="H35" s="6" t="inlineStr">
        <is>
          <t>7</t>
        </is>
      </c>
      <c r="I35" s="6" t="inlineStr">
        <is>
          <t>10</t>
        </is>
      </c>
      <c r="J35" s="6" t="inlineStr">
        <is>
          <t>2026-07-09</t>
        </is>
      </c>
      <c r="K35" s="6" t="inlineStr">
        <is>
          <t>2026-07-02</t>
        </is>
      </c>
      <c r="L35" s="6" t="inlineStr">
        <is>
          <t>14</t>
        </is>
      </c>
      <c r="M35" s="6" t="inlineStr">
        <is>
          <t>29</t>
        </is>
      </c>
      <c r="N35" s="6" t="inlineStr">
        <is>
          <t>21</t>
        </is>
      </c>
      <c r="O35" s="6" t="inlineStr">
        <is>
          <t>J-D18</t>
        </is>
      </c>
      <c r="P35" s="6" t="inlineStr">
        <is>
          <t>Canton</t>
        </is>
      </c>
      <c r="Q35" s="6" t="inlineStr">
        <is>
          <t>2050 N Haggerty Road, Canton, Michigan, 48187</t>
        </is>
      </c>
      <c r="R35" s="6" t="inlineStr">
        <is>
          <t>Thomas J Ridella, MD (5 ortho) · Amal Alqurneh, DO (2 ortho)</t>
        </is>
      </c>
      <c r="S35" s="6" t="inlineStr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>
      <c r="A36" s="6" t="inlineStr">
        <is>
          <t>Corewell Health Family Care of Novi</t>
        </is>
      </c>
      <c r="B36" s="6" t="inlineStr">
        <is>
          <t>74e299c3-f9b1-4d54-8e8d-b63af23ba7fd</t>
        </is>
      </c>
      <c r="C36" s="6" t="inlineStr">
        <is>
          <t>PCP</t>
        </is>
      </c>
      <c r="D36" s="6" t="inlineStr">
        <is>
          <t>Tier 2</t>
        </is>
      </c>
      <c r="E36" s="6" t="inlineStr">
        <is>
          <t>Ortho Referrer</t>
        </is>
      </c>
      <c r="F36" s="6" t="n">
        <v>59</v>
      </c>
      <c r="G36" s="6" t="n">
        <v>0</v>
      </c>
      <c r="H36" s="6" t="inlineStr">
        <is>
          <t>5</t>
        </is>
      </c>
      <c r="I36" s="6" t="inlineStr">
        <is>
          <t>5</t>
        </is>
      </c>
      <c r="J36" s="6" t="inlineStr">
        <is>
          <t>2026-06-02</t>
        </is>
      </c>
      <c r="K36" s="6" t="inlineStr">
        <is>
          <t>2026-07-10</t>
        </is>
      </c>
      <c r="L36" s="6" t="inlineStr">
        <is>
          <t>6</t>
        </is>
      </c>
      <c r="M36" s="6" t="inlineStr">
        <is>
          <t>17</t>
        </is>
      </c>
      <c r="N36" s="6" t="inlineStr">
        <is>
          <t>21</t>
        </is>
      </c>
      <c r="O36" s="6" t="inlineStr">
        <is>
          <t>J-D20</t>
        </is>
      </c>
      <c r="P36" s="6" t="inlineStr">
        <is>
          <t>NOVI</t>
        </is>
      </c>
      <c r="Q36" s="6" t="inlineStr">
        <is>
          <t>44130 W 12 MILE RD, NOVI, MI, 48377</t>
        </is>
      </c>
      <c r="R36" s="6" t="inlineStr">
        <is>
          <t>Medina Kadri, MD (4 ortho) · Rana Zaban, DO (1 ortho)</t>
        </is>
      </c>
      <c r="S36" s="6" t="inlineStr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>
      <c r="A37" s="6" t="inlineStr">
        <is>
          <t>Office of Robert Brateman</t>
        </is>
      </c>
      <c r="B37" s="6" t="inlineStr">
        <is>
          <t>1548224769</t>
        </is>
      </c>
      <c r="C37" s="6" t="inlineStr">
        <is>
          <t>PCP</t>
        </is>
      </c>
      <c r="D37" s="6" t="inlineStr">
        <is>
          <t>Tier 2</t>
        </is>
      </c>
      <c r="E37" s="6" t="inlineStr">
        <is>
          <t>Ortho Referrer</t>
        </is>
      </c>
      <c r="F37" s="6" t="n">
        <v>59</v>
      </c>
      <c r="G37" s="6" t="n">
        <v>0</v>
      </c>
      <c r="H37" s="6" t="inlineStr">
        <is>
          <t>5</t>
        </is>
      </c>
      <c r="I37" s="6" t="inlineStr">
        <is>
          <t>5</t>
        </is>
      </c>
      <c r="J37" s="6" t="inlineStr">
        <is>
          <t>2026-06-16</t>
        </is>
      </c>
      <c r="K37" s="6" t="inlineStr">
        <is>
          <t>2026-06-23</t>
        </is>
      </c>
      <c r="L37" s="6" t="inlineStr">
        <is>
          <t>23</t>
        </is>
      </c>
      <c r="M37" s="6" t="inlineStr">
        <is>
          <t>42</t>
        </is>
      </c>
      <c r="N37" s="6" t="inlineStr">
        <is>
          <t>21</t>
        </is>
      </c>
      <c r="O37" s="6" t="inlineStr">
        <is>
          <t>J-D22</t>
        </is>
      </c>
      <c r="P37" s="6" t="inlineStr">
        <is>
          <t>Novi</t>
        </is>
      </c>
      <c r="Q37" s="6" t="inlineStr">
        <is>
          <t>40015 Grand River Ave, ste 100, Novi, Michigan, 48375</t>
        </is>
      </c>
      <c r="R37" s="6" t="inlineStr">
        <is>
          <t>Robert Brateman, MD (5 ortho)</t>
        </is>
      </c>
      <c r="S37" s="6" t="inlineStr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>
      <c r="A38" s="6" t="inlineStr">
        <is>
          <t>WEST OAKLAND INTERNISTS</t>
        </is>
      </c>
      <c r="B38" s="6" t="inlineStr">
        <is>
          <t>b9dc6f52-5aa2-459e-98a8-79b4da67dc8a</t>
        </is>
      </c>
      <c r="C38" s="6" t="inlineStr">
        <is>
          <t>PCP</t>
        </is>
      </c>
      <c r="D38" s="6" t="inlineStr">
        <is>
          <t>Tier 2</t>
        </is>
      </c>
      <c r="E38" s="6" t="inlineStr">
        <is>
          <t>Ortho Referrer</t>
        </is>
      </c>
      <c r="F38" s="6" t="n">
        <v>53</v>
      </c>
      <c r="G38" s="6" t="n">
        <v>0</v>
      </c>
      <c r="H38" s="6" t="inlineStr">
        <is>
          <t>2</t>
        </is>
      </c>
      <c r="I38" s="6" t="inlineStr">
        <is>
          <t>7</t>
        </is>
      </c>
      <c r="J38" s="6" t="inlineStr">
        <is>
          <t>2026-06-01</t>
        </is>
      </c>
      <c r="K38" s="6" t="inlineStr">
        <is>
          <t>2026-07-10</t>
        </is>
      </c>
      <c r="L38" s="6" t="inlineStr">
        <is>
          <t>6</t>
        </is>
      </c>
      <c r="M38" s="6" t="inlineStr">
        <is>
          <t>7</t>
        </is>
      </c>
      <c r="N38" s="6" t="inlineStr">
        <is>
          <t>21</t>
        </is>
      </c>
      <c r="O38" s="6" t="inlineStr">
        <is>
          <t>J-D08</t>
        </is>
      </c>
      <c r="P38" s="6" t="inlineStr">
        <is>
          <t>NOVI</t>
        </is>
      </c>
      <c r="Q38" s="6" t="inlineStr">
        <is>
          <t>44000 W 12 MILE RD STE 200, NOVI, MI, 48377</t>
        </is>
      </c>
      <c r="R38" s="6" t="inlineStr">
        <is>
          <t>Nabil Wehbe, DO (1 ortho) · Stafford Preston, MD (1 ortho) · Bruce Terrio, MD</t>
        </is>
      </c>
      <c r="S38" s="6" t="inlineStr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>
      <c r="A39" s="6" t="inlineStr">
        <is>
          <t>Freedom Medical Clinic (Trinity)</t>
        </is>
      </c>
      <c r="B39" s="6" t="inlineStr">
        <is>
          <t>e0d8c74a-31fe-4da6-9aa4-6a2357088b6a</t>
        </is>
      </c>
      <c r="C39" s="6" t="inlineStr">
        <is>
          <t>PCP</t>
        </is>
      </c>
      <c r="D39" s="6" t="inlineStr">
        <is>
          <t>Tier 2</t>
        </is>
      </c>
      <c r="E39" s="6" t="inlineStr">
        <is>
          <t>Ortho Referrer</t>
        </is>
      </c>
      <c r="F39" s="6" t="n">
        <v>53</v>
      </c>
      <c r="G39" s="6" t="n">
        <v>0</v>
      </c>
      <c r="H39" s="6" t="inlineStr">
        <is>
          <t>2</t>
        </is>
      </c>
      <c r="I39" s="6" t="inlineStr">
        <is>
          <t>3</t>
        </is>
      </c>
      <c r="J39" s="6" t="inlineStr">
        <is>
          <t>2026-06-18</t>
        </is>
      </c>
      <c r="K39" s="6" t="inlineStr">
        <is>
          <t>2026-06-24</t>
        </is>
      </c>
      <c r="L39" s="6" t="inlineStr">
        <is>
          <t>22</t>
        </is>
      </c>
      <c r="M39" s="6" t="inlineStr">
        <is>
          <t>22</t>
        </is>
      </c>
      <c r="N39" s="6" t="inlineStr">
        <is>
          <t>21</t>
        </is>
      </c>
      <c r="O39" s="6" t="inlineStr">
        <is>
          <t>J-D09</t>
        </is>
      </c>
      <c r="P39" s="6" t="inlineStr">
        <is>
          <t>Livonia</t>
        </is>
      </c>
      <c r="Q39" s="6" t="inlineStr">
        <is>
          <t>20206 Farmington Rd, Livonia, MI, 48152</t>
        </is>
      </c>
      <c r="R39" s="6" t="inlineStr">
        <is>
          <t>Trishya Reddy, MD (1 ortho) · Randall A Bickle, DO (1 ortho)</t>
        </is>
      </c>
      <c r="S39" s="6" t="inlineStr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>
      <c r="A40" s="6" t="inlineStr">
        <is>
          <t>Dedicated senior Medical Center Detroit North</t>
        </is>
      </c>
      <c r="B40" s="6" t="inlineStr">
        <is>
          <t>85d28577-5be8-4372-8c7e-9a349c62e50d</t>
        </is>
      </c>
      <c r="C40" s="6" t="inlineStr">
        <is>
          <t>PCP</t>
        </is>
      </c>
      <c r="D40" s="6" t="inlineStr">
        <is>
          <t>Tier 2</t>
        </is>
      </c>
      <c r="E40" s="6" t="inlineStr">
        <is>
          <t>Ortho Referrer</t>
        </is>
      </c>
      <c r="F40" s="6" t="n">
        <v>53</v>
      </c>
      <c r="G40" s="6" t="n">
        <v>0</v>
      </c>
      <c r="H40" s="6" t="inlineStr">
        <is>
          <t>3</t>
        </is>
      </c>
      <c r="I40" s="6" t="inlineStr">
        <is>
          <t>4</t>
        </is>
      </c>
      <c r="J40" s="6" t="inlineStr">
        <is>
          <t>2026-06-03</t>
        </is>
      </c>
      <c r="K40" s="6" t="inlineStr">
        <is>
          <t>2026-07-08</t>
        </is>
      </c>
      <c r="L40" s="6" t="inlineStr">
        <is>
          <t>8</t>
        </is>
      </c>
      <c r="M40" s="6" t="inlineStr">
        <is>
          <t>7</t>
        </is>
      </c>
      <c r="N40" s="6" t="inlineStr">
        <is>
          <t>21</t>
        </is>
      </c>
      <c r="O40" s="6" t="inlineStr">
        <is>
          <t>J-D11</t>
        </is>
      </c>
      <c r="P40" s="6" t="inlineStr">
        <is>
          <t>Detroit</t>
        </is>
      </c>
      <c r="Q40" s="6" t="inlineStr">
        <is>
          <t>20001 West Seven Mile Road, Detroit, Michigan, 48219</t>
        </is>
      </c>
      <c r="R40" s="6" t="inlineStr">
        <is>
          <t>Sandra L Molteni (3 ortho)</t>
        </is>
      </c>
      <c r="S40" s="6" t="inlineStr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s="6" t="inlineStr">
        <is>
          <t>Western Wayne Physicians - Livonia</t>
        </is>
      </c>
      <c r="B41" s="6" t="inlineStr">
        <is>
          <t>c6f8c7f7-2386-4788-9102-c4f9ebda94b8</t>
        </is>
      </c>
      <c r="C41" s="6" t="inlineStr">
        <is>
          <t>PCP</t>
        </is>
      </c>
      <c r="D41" s="6" t="inlineStr">
        <is>
          <t>Tier 2</t>
        </is>
      </c>
      <c r="E41" s="6" t="inlineStr">
        <is>
          <t>Ortho Referrer</t>
        </is>
      </c>
      <c r="F41" s="6" t="n">
        <v>53</v>
      </c>
      <c r="G41" s="6" t="n">
        <v>0</v>
      </c>
      <c r="H41" s="6" t="inlineStr">
        <is>
          <t>2</t>
        </is>
      </c>
      <c r="I41" s="6" t="inlineStr">
        <is>
          <t>2</t>
        </is>
      </c>
      <c r="J41" s="6" t="inlineStr">
        <is>
          <t>2026-03-30</t>
        </is>
      </c>
      <c r="K41" s="6" t="inlineStr">
        <is>
          <t>2026-07-09</t>
        </is>
      </c>
      <c r="L41" s="6" t="inlineStr">
        <is>
          <t>7</t>
        </is>
      </c>
      <c r="M41" s="6" t="inlineStr">
        <is>
          <t>15</t>
        </is>
      </c>
      <c r="N41" s="6" t="inlineStr">
        <is>
          <t>21</t>
        </is>
      </c>
      <c r="O41" s="6" t="inlineStr">
        <is>
          <t>J-D17</t>
        </is>
      </c>
      <c r="P41" s="6" t="inlineStr">
        <is>
          <t>Livonia</t>
        </is>
      </c>
      <c r="Q41" s="6" t="inlineStr">
        <is>
          <t>15160 Levan Rd, Livonia, Michigan, 48154</t>
        </is>
      </c>
      <c r="R41" s="6" t="inlineStr">
        <is>
          <t>Tamara Schmidt, MD (2 ortho)</t>
        </is>
      </c>
      <c r="S41" s="6" t="inlineStr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>
      <c r="A42" s="6" t="inlineStr">
        <is>
          <t>BN Nandish MD</t>
        </is>
      </c>
      <c r="B42" s="6" t="inlineStr">
        <is>
          <t>4dee089f-61d1-4d13-9fca-62b8d8ffc312</t>
        </is>
      </c>
      <c r="C42" s="6" t="inlineStr">
        <is>
          <t>PCP</t>
        </is>
      </c>
      <c r="D42" s="6" t="inlineStr">
        <is>
          <t>Tier 2</t>
        </is>
      </c>
      <c r="E42" s="6" t="inlineStr">
        <is>
          <t>Ortho Referrer</t>
        </is>
      </c>
      <c r="F42" s="6" t="n">
        <v>52</v>
      </c>
      <c r="G42" s="6" t="n">
        <v>0</v>
      </c>
      <c r="H42" s="6" t="inlineStr">
        <is>
          <t>2</t>
        </is>
      </c>
      <c r="I42" s="6" t="inlineStr">
        <is>
          <t>2</t>
        </is>
      </c>
      <c r="J42" s="6" t="inlineStr">
        <is>
          <t>2026-04-03</t>
        </is>
      </c>
      <c r="K42" s="6" t="inlineStr">
        <is>
          <t>2026-07-09</t>
        </is>
      </c>
      <c r="L42" s="6" t="inlineStr">
        <is>
          <t>7</t>
        </is>
      </c>
      <c r="M42" s="6" t="inlineStr">
        <is>
          <t>17</t>
        </is>
      </c>
      <c r="N42" s="6" t="inlineStr">
        <is>
          <t>21</t>
        </is>
      </c>
      <c r="O42" s="6" t="inlineStr">
        <is>
          <t>J-D01</t>
        </is>
      </c>
      <c r="P42" s="6" t="inlineStr">
        <is>
          <t>Livonia</t>
        </is>
      </c>
      <c r="Q42" s="6" t="inlineStr">
        <is>
          <t>14555 Levan Rd suite 308, Livonia, Michigan, 48154</t>
        </is>
      </c>
      <c r="R42" s="6" t="inlineStr">
        <is>
          <t>Banathally N Nandish, MD (2 ortho)</t>
        </is>
      </c>
      <c r="S42" s="6" t="inlineStr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>
      <c r="A43" s="6" t="inlineStr">
        <is>
          <t>Office of Robert Vartabedian MD</t>
        </is>
      </c>
      <c r="B43" s="6" t="inlineStr">
        <is>
          <t>a3906606-5f95-4b86-b5ca-235186bdde34</t>
        </is>
      </c>
      <c r="C43" s="6" t="inlineStr">
        <is>
          <t>PCP</t>
        </is>
      </c>
      <c r="D43" s="6" t="inlineStr">
        <is>
          <t>Tier 2</t>
        </is>
      </c>
      <c r="E43" s="6" t="inlineStr">
        <is>
          <t>Ortho Referrer</t>
        </is>
      </c>
      <c r="F43" s="6" t="n">
        <v>52</v>
      </c>
      <c r="G43" s="6" t="n">
        <v>0</v>
      </c>
      <c r="H43" s="6" t="inlineStr">
        <is>
          <t>2</t>
        </is>
      </c>
      <c r="I43" s="6" t="inlineStr">
        <is>
          <t>2</t>
        </is>
      </c>
      <c r="J43" s="6" t="inlineStr">
        <is>
          <t>2026-06-19</t>
        </is>
      </c>
      <c r="K43" s="6" t="inlineStr">
        <is>
          <t>2026-06-22</t>
        </is>
      </c>
      <c r="L43" s="6" t="inlineStr">
        <is>
          <t>24</t>
        </is>
      </c>
      <c r="M43" s="6" t="inlineStr">
        <is>
          <t>60.5</t>
        </is>
      </c>
      <c r="N43" s="6" t="inlineStr">
        <is>
          <t>21</t>
        </is>
      </c>
      <c r="O43" s="6" t="inlineStr">
        <is>
          <t>J-D23</t>
        </is>
      </c>
      <c r="P43" s="6" t="inlineStr">
        <is>
          <t>Plymouth</t>
        </is>
      </c>
      <c r="Q43" s="6" t="inlineStr">
        <is>
          <t>990 W Ann Arbor Trail suite 104, Plymouth, Michigan, 48170</t>
        </is>
      </c>
      <c r="R43" s="6" t="inlineStr">
        <is>
          <t>Robert Vartabedian, MD (2 ortho)</t>
        </is>
      </c>
      <c r="S43" s="6" t="inlineStr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>
      <c r="A44" s="6" t="inlineStr">
        <is>
          <t>IHA Plymouth Primary Care</t>
        </is>
      </c>
      <c r="B44" s="6" t="inlineStr">
        <is>
          <t>92cc3682-defe-42ff-8ccd-0ff138c12b77</t>
        </is>
      </c>
      <c r="C44" s="6" t="inlineStr">
        <is>
          <t>PCP</t>
        </is>
      </c>
      <c r="D44" s="6" t="inlineStr">
        <is>
          <t>Tier 2</t>
        </is>
      </c>
      <c r="E44" s="6" t="inlineStr">
        <is>
          <t>Ortho Referrer</t>
        </is>
      </c>
      <c r="F44" s="6" t="n">
        <v>52</v>
      </c>
      <c r="G44" s="6" t="n">
        <v>0</v>
      </c>
      <c r="H44" s="6" t="inlineStr">
        <is>
          <t>3</t>
        </is>
      </c>
      <c r="I44" s="6" t="inlineStr">
        <is>
          <t>4</t>
        </is>
      </c>
      <c r="J44" s="6" t="inlineStr">
        <is>
          <t>2026-05-21</t>
        </is>
      </c>
      <c r="K44" s="6" t="inlineStr">
        <is>
          <t>2026-07-13</t>
        </is>
      </c>
      <c r="L44" s="6" t="inlineStr">
        <is>
          <t>3</t>
        </is>
      </c>
      <c r="M44" s="6" t="inlineStr">
        <is>
          <t>24.5</t>
        </is>
      </c>
      <c r="N44" s="6" t="inlineStr">
        <is>
          <t>21</t>
        </is>
      </c>
      <c r="O44" s="6" t="inlineStr">
        <is>
          <t>J-D23</t>
        </is>
      </c>
      <c r="P44" s="6" t="inlineStr">
        <is>
          <t>PLYMOUTH</t>
        </is>
      </c>
      <c r="Q44" s="6" t="inlineStr">
        <is>
          <t>990 w Ann Arbor trail, ste 208, PLYMOUTH, Michigan, 48170</t>
        </is>
      </c>
      <c r="R44" s="6" t="inlineStr">
        <is>
          <t>Lauren Lumley, DO (2 ortho) · Ashley Schmehl, DO (1 ortho) · Matthew Kohlenberg, MD</t>
        </is>
      </c>
      <c r="S44" s="6" t="inlineStr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>
      <c r="A45" s="6" t="inlineStr">
        <is>
          <t>IHA, Primary Care - Cherry Hill Village</t>
        </is>
      </c>
      <c r="B45" s="6" t="inlineStr">
        <is>
          <t>88f17311-2f10-4d7d-b250-085575fb31c1</t>
        </is>
      </c>
      <c r="C45" s="6" t="inlineStr">
        <is>
          <t>PCP</t>
        </is>
      </c>
      <c r="D45" s="6" t="inlineStr">
        <is>
          <t>Tier 2</t>
        </is>
      </c>
      <c r="E45" s="6" t="inlineStr">
        <is>
          <t>Ortho Referrer</t>
        </is>
      </c>
      <c r="F45" s="6" t="n">
        <v>51</v>
      </c>
      <c r="G45" s="6" t="n">
        <v>0</v>
      </c>
      <c r="H45" s="6" t="inlineStr">
        <is>
          <t>2</t>
        </is>
      </c>
      <c r="I45" s="6" t="inlineStr">
        <is>
          <t>2</t>
        </is>
      </c>
      <c r="J45" s="6" t="inlineStr">
        <is>
          <t>2026-04-23</t>
        </is>
      </c>
      <c r="K45" s="6" t="inlineStr">
        <is>
          <t>2026-06-02</t>
        </is>
      </c>
      <c r="L45" s="6" t="inlineStr">
        <is>
          <t>44</t>
        </is>
      </c>
      <c r="M45" s="6" t="inlineStr">
        <is>
          <t>34</t>
        </is>
      </c>
      <c r="N45" s="6" t="inlineStr">
        <is>
          <t>21</t>
        </is>
      </c>
      <c r="O45" s="6" t="inlineStr">
        <is>
          <t>J-D15</t>
        </is>
      </c>
      <c r="P45" s="6" t="inlineStr">
        <is>
          <t>Canton</t>
        </is>
      </c>
      <c r="Q45" s="6" t="inlineStr">
        <is>
          <t>49650 Cherry Hill Rd, Canton, Michigan, 48187</t>
        </is>
      </c>
      <c r="R45" s="6" t="inlineStr">
        <is>
          <t>Frank Parrinello (1 ortho) · Kristen Alexis Yee, MD (1 ortho)</t>
        </is>
      </c>
      <c r="S45" s="6" t="inlineStr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>
      <c r="A46" s="6" t="inlineStr">
        <is>
          <t>MD VIP - Trenton</t>
        </is>
      </c>
      <c r="B46" s="6" t="inlineStr">
        <is>
          <t>0e7f5d40-b8a0-4524-96a4-2229c7d1e5e7</t>
        </is>
      </c>
      <c r="C46" s="6" t="inlineStr">
        <is>
          <t>PCP</t>
        </is>
      </c>
      <c r="D46" s="6" t="inlineStr">
        <is>
          <t>Tier 2</t>
        </is>
      </c>
      <c r="E46" s="6" t="inlineStr">
        <is>
          <t>Ortho Referrer</t>
        </is>
      </c>
      <c r="F46" s="6" t="n">
        <v>50</v>
      </c>
      <c r="G46" s="6" t="n">
        <v>0</v>
      </c>
      <c r="H46" s="6" t="inlineStr">
        <is>
          <t>2</t>
        </is>
      </c>
      <c r="I46" s="6" t="inlineStr">
        <is>
          <t>2</t>
        </is>
      </c>
      <c r="J46" s="6" t="inlineStr">
        <is>
          <t>2026-06-26</t>
        </is>
      </c>
      <c r="K46" s="6" t="inlineStr">
        <is>
          <t>2026-03-17</t>
        </is>
      </c>
      <c r="L46" s="6" t="inlineStr">
        <is>
          <t>121</t>
        </is>
      </c>
      <c r="M46" s="6" t="inlineStr">
        <is>
          <t>69.5</t>
        </is>
      </c>
      <c r="N46" s="6" t="inlineStr">
        <is>
          <t>21</t>
        </is>
      </c>
      <c r="O46" s="6" t="inlineStr">
        <is>
          <t>J-D24</t>
        </is>
      </c>
      <c r="P46" s="6" t="inlineStr">
        <is>
          <t>Trenton</t>
        </is>
      </c>
      <c r="Q46" s="6" t="inlineStr">
        <is>
          <t>1570 Kingsway Ct suite 1, Trenton, Michigan, 48183</t>
        </is>
      </c>
      <c r="R46" s="6" t="inlineStr">
        <is>
          <t>Michelle Bauer, MD (1 ortho) · Jennifer Fretz, DO (1 ortho)</t>
        </is>
      </c>
      <c r="S46" s="6" t="inlineStr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>
      <c r="A47" s="6" t="inlineStr">
        <is>
          <t>Village Medical - Novi</t>
        </is>
      </c>
      <c r="B47" s="6" t="inlineStr">
        <is>
          <t>60ca59a0-452f-4fea-8aff-cf4ef63862b7</t>
        </is>
      </c>
      <c r="C47" s="6" t="inlineStr">
        <is>
          <t>Pain</t>
        </is>
      </c>
      <c r="D47" s="6" t="inlineStr">
        <is>
          <t>Tier 2</t>
        </is>
      </c>
      <c r="E47" s="6" t="inlineStr">
        <is>
          <t>Ortho Referrer</t>
        </is>
      </c>
      <c r="F47" s="6" t="n">
        <v>49</v>
      </c>
      <c r="G47" s="6" t="n">
        <v>0</v>
      </c>
      <c r="H47" s="6" t="inlineStr">
        <is>
          <t>1</t>
        </is>
      </c>
      <c r="I47" s="6" t="inlineStr">
        <is>
          <t>3</t>
        </is>
      </c>
      <c r="J47" s="6" t="inlineStr">
        <is>
          <t>2026-05-07</t>
        </is>
      </c>
      <c r="K47" s="6" t="inlineStr">
        <is>
          <t>2026-06-23</t>
        </is>
      </c>
      <c r="L47" s="6" t="inlineStr">
        <is>
          <t>23</t>
        </is>
      </c>
      <c r="M47" s="6" t="inlineStr">
        <is>
          <t>18</t>
        </is>
      </c>
      <c r="N47" s="6" t="inlineStr">
        <is>
          <t>21</t>
        </is>
      </c>
      <c r="O47" s="6" t="inlineStr">
        <is>
          <t>J-D08</t>
        </is>
      </c>
      <c r="P47" s="6" t="inlineStr">
        <is>
          <t>Novi</t>
        </is>
      </c>
      <c r="Q47" s="6" t="inlineStr">
        <is>
          <t>39475 Lewis Dr ste 130, Novi, Michigan, 48377</t>
        </is>
      </c>
      <c r="R47" s="6" t="inlineStr">
        <is>
          <t>James Golden, MD (1 ortho) · Daniel Rosenberg, MD</t>
        </is>
      </c>
      <c r="S47" s="6" t="inlineStr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6" t="inlineStr">
        <is>
          <t>Primecare of Novi</t>
        </is>
      </c>
      <c r="B48" s="6" t="inlineStr">
        <is>
          <t>08777e8a-5ca0-4abd-8ad4-d8f4fbbacc9c</t>
        </is>
      </c>
      <c r="C48" s="6" t="inlineStr">
        <is>
          <t>Pain</t>
        </is>
      </c>
      <c r="D48" s="6" t="inlineStr">
        <is>
          <t>Tier 2</t>
        </is>
      </c>
      <c r="E48" s="6" t="inlineStr">
        <is>
          <t>Ortho Referrer</t>
        </is>
      </c>
      <c r="F48" s="6" t="n">
        <v>49</v>
      </c>
      <c r="G48" s="6" t="n">
        <v>0</v>
      </c>
      <c r="H48" s="6" t="inlineStr">
        <is>
          <t>1</t>
        </is>
      </c>
      <c r="I48" s="6" t="inlineStr">
        <is>
          <t>1</t>
        </is>
      </c>
      <c r="J48" s="6" t="inlineStr">
        <is>
          <t>2026-02-09</t>
        </is>
      </c>
      <c r="K48" s="6" t="inlineStr">
        <is>
          <t>2026-07-01</t>
        </is>
      </c>
      <c r="L48" s="6" t="inlineStr">
        <is>
          <t>15</t>
        </is>
      </c>
      <c r="M48" s="6" t="inlineStr">
        <is>
          <t>42</t>
        </is>
      </c>
      <c r="N48" s="6" t="inlineStr">
        <is>
          <t>21</t>
        </is>
      </c>
      <c r="O48" s="6" t="inlineStr">
        <is>
          <t>J-D22</t>
        </is>
      </c>
      <c r="P48" s="6" t="inlineStr">
        <is>
          <t>Novi</t>
        </is>
      </c>
      <c r="Q48" s="6" t="inlineStr">
        <is>
          <t>39555 West 10 Mile Road, Novi, Michigan, 48375</t>
        </is>
      </c>
      <c r="R48" s="6" t="inlineStr">
        <is>
          <t>Hannah R Berman, NP (1 ortho)</t>
        </is>
      </c>
      <c r="S48" s="6" t="inlineStr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>
      <c r="A49" s="6" t="inlineStr">
        <is>
          <t>Michigan Urgent Care - Livonia</t>
        </is>
      </c>
      <c r="B49" s="6" t="inlineStr">
        <is>
          <t>1d453948-16d6-4da0-a7d9-80b603bedb9b</t>
        </is>
      </c>
      <c r="C49" s="6" t="inlineStr">
        <is>
          <t>Orthopedic</t>
        </is>
      </c>
      <c r="D49" s="6" t="inlineStr">
        <is>
          <t>Tier 2</t>
        </is>
      </c>
      <c r="E49" s="6" t="inlineStr">
        <is>
          <t>Ortho Referrer</t>
        </is>
      </c>
      <c r="F49" s="6" t="n">
        <v>49</v>
      </c>
      <c r="G49" s="6" t="n">
        <v>0</v>
      </c>
      <c r="H49" s="6" t="inlineStr">
        <is>
          <t>1</t>
        </is>
      </c>
      <c r="I49" s="6" t="inlineStr">
        <is>
          <t>1</t>
        </is>
      </c>
      <c r="J49" s="6" t="inlineStr">
        <is>
          <t>2026-01-12</t>
        </is>
      </c>
      <c r="K49" s="6" t="inlineStr">
        <is>
          <t>2026-07-16</t>
        </is>
      </c>
      <c r="L49" s="6" t="inlineStr">
        <is>
          <t>0</t>
        </is>
      </c>
      <c r="M49" s="6" t="inlineStr">
        <is>
          <t>28</t>
        </is>
      </c>
      <c r="N49" s="6" t="inlineStr">
        <is>
          <t>21</t>
        </is>
      </c>
      <c r="O49" s="6" t="inlineStr">
        <is>
          <t>J-D25</t>
        </is>
      </c>
      <c r="P49" s="6" t="inlineStr">
        <is>
          <t>Livonia</t>
        </is>
      </c>
      <c r="Q49" s="6" t="inlineStr">
        <is>
          <t>37595 W Seven Mile Rd, Livonia, Michigan, 48152</t>
        </is>
      </c>
      <c r="R49" s="6" t="inlineStr">
        <is>
          <t>Michigan Urgent Care - Livonia (1 ortho)</t>
        </is>
      </c>
      <c r="S49" s="6" t="inlineStr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>
      <c r="A50" s="6" t="inlineStr">
        <is>
          <t>Trinity IHA Orthopedics - Schoolcraft</t>
        </is>
      </c>
      <c r="B50" s="6" t="inlineStr">
        <is>
          <t>e5c5b135-ecad-42bb-bbbc-011dd2c4a225</t>
        </is>
      </c>
      <c r="C50" s="6" t="inlineStr">
        <is>
          <t>Orthopedic</t>
        </is>
      </c>
      <c r="D50" s="6" t="inlineStr">
        <is>
          <t>Tier 2</t>
        </is>
      </c>
      <c r="E50" s="6" t="inlineStr">
        <is>
          <t>Ortho Referrer</t>
        </is>
      </c>
      <c r="F50" s="6" t="n">
        <v>49</v>
      </c>
      <c r="G50" s="6" t="n">
        <v>0</v>
      </c>
      <c r="H50" s="6" t="inlineStr">
        <is>
          <t>1</t>
        </is>
      </c>
      <c r="I50" s="6" t="inlineStr">
        <is>
          <t>1</t>
        </is>
      </c>
      <c r="J50" s="6" t="inlineStr">
        <is>
          <t>2026-02-02</t>
        </is>
      </c>
      <c r="K50" s="6" t="inlineStr">
        <is>
          <t>2026-07-16</t>
        </is>
      </c>
      <c r="L50" s="6" t="inlineStr">
        <is>
          <t>0</t>
        </is>
      </c>
      <c r="M50" s="6" t="inlineStr">
        <is>
          <t>42</t>
        </is>
      </c>
      <c r="N50" s="6" t="inlineStr">
        <is>
          <t>21</t>
        </is>
      </c>
      <c r="O50" s="6" t="inlineStr">
        <is>
          <t>J-D25</t>
        </is>
      </c>
      <c r="P50" s="6" t="inlineStr">
        <is>
          <t>Livonia</t>
        </is>
      </c>
      <c r="Q50" s="6" t="inlineStr">
        <is>
          <t>19000 St Joe's Pkwy, Livonia, Michigan, 48152</t>
        </is>
      </c>
      <c r="R50" s="6" t="inlineStr">
        <is>
          <t>Kristopher J Aalderink (1 ortho)</t>
        </is>
      </c>
      <c r="S50" s="6" t="inlineStr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>
      <c r="A51" s="6" t="inlineStr">
        <is>
          <t>Dedicated Senior Medical Center - Eastpointe</t>
        </is>
      </c>
      <c r="B51" s="6" t="inlineStr">
        <is>
          <t>461fe196-5467-4d92-bec8-0125858453c8</t>
        </is>
      </c>
      <c r="C51" s="6" t="inlineStr">
        <is>
          <t>PCP</t>
        </is>
      </c>
      <c r="D51" s="6" t="inlineStr">
        <is>
          <t>Tier 2</t>
        </is>
      </c>
      <c r="E51" s="6" t="inlineStr">
        <is>
          <t>Ortho Referrer</t>
        </is>
      </c>
      <c r="F51" s="6" t="n">
        <v>48</v>
      </c>
      <c r="G51" s="6" t="n">
        <v>0</v>
      </c>
      <c r="H51" s="6" t="inlineStr">
        <is>
          <t>1</t>
        </is>
      </c>
      <c r="I51" s="6" t="inlineStr">
        <is>
          <t>2</t>
        </is>
      </c>
      <c r="J51" s="6" t="inlineStr">
        <is>
          <t>2026-05-12</t>
        </is>
      </c>
      <c r="K51" s="6" t="inlineStr">
        <is>
          <t>2026-07-08</t>
        </is>
      </c>
      <c r="L51" s="6" t="inlineStr">
        <is>
          <t>8</t>
        </is>
      </c>
      <c r="M51" s="6" t="inlineStr">
        <is>
          <t>0.5</t>
        </is>
      </c>
      <c r="N51" s="6" t="inlineStr">
        <is>
          <t>21</t>
        </is>
      </c>
      <c r="O51" s="6" t="inlineStr">
        <is>
          <t>J-D05</t>
        </is>
      </c>
      <c r="P51" s="6" t="inlineStr">
        <is>
          <t>Eastpointe</t>
        </is>
      </c>
      <c r="Q51" s="6" t="inlineStr">
        <is>
          <t>21811 Kelly Rd, Eastpointe, Michigan, 48021</t>
        </is>
      </c>
      <c r="R51" s="6" t="inlineStr">
        <is>
          <t>Poonam Patel, MD (1 ortho)</t>
        </is>
      </c>
      <c r="S51" s="6" t="inlineStr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>
      <c r="A52" s="6" t="inlineStr">
        <is>
          <t>PROVIDENCE PARK LIVONIA FAMILY MEDICINE</t>
        </is>
      </c>
      <c r="B52" s="6" t="inlineStr">
        <is>
          <t>10a3ca46-32f2-472e-99d9-39f7c9e3bde3</t>
        </is>
      </c>
      <c r="C52" s="6" t="inlineStr">
        <is>
          <t>PCP</t>
        </is>
      </c>
      <c r="D52" s="6" t="inlineStr">
        <is>
          <t>Tier 2</t>
        </is>
      </c>
      <c r="E52" s="6" t="inlineStr">
        <is>
          <t>Ortho Referrer</t>
        </is>
      </c>
      <c r="F52" s="6" t="n">
        <v>48</v>
      </c>
      <c r="G52" s="6" t="n">
        <v>0</v>
      </c>
      <c r="H52" s="6" t="inlineStr">
        <is>
          <t>1</t>
        </is>
      </c>
      <c r="I52" s="6" t="inlineStr">
        <is>
          <t>1</t>
        </is>
      </c>
      <c r="J52" s="6" t="inlineStr">
        <is>
          <t>2026-04-28</t>
        </is>
      </c>
      <c r="K52" s="6" t="inlineStr">
        <is>
          <t>2026-06-19</t>
        </is>
      </c>
      <c r="L52" s="6" t="inlineStr">
        <is>
          <t>27</t>
        </is>
      </c>
      <c r="M52" s="6" t="inlineStr">
        <is>
          <t>29</t>
        </is>
      </c>
      <c r="N52" s="6" t="inlineStr">
        <is>
          <t>21</t>
        </is>
      </c>
      <c r="O52" s="6" t="inlineStr">
        <is>
          <t>J-D17</t>
        </is>
      </c>
      <c r="P52" s="6" t="inlineStr">
        <is>
          <t>LIVONIA</t>
        </is>
      </c>
      <c r="Q52" s="6" t="inlineStr">
        <is>
          <t>37650 PROFESSIONAL CENTER DR STE 1010A, LIVONIA, MI, 48154</t>
        </is>
      </c>
      <c r="R52" s="6" t="inlineStr">
        <is>
          <t>David E Karle, MD (1 ortho)</t>
        </is>
      </c>
      <c r="S52" s="6" t="inlineStr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>
      <c r="A53" s="6" t="inlineStr">
        <is>
          <t>Family Care Physicians PC</t>
        </is>
      </c>
      <c r="B53" s="6" t="inlineStr">
        <is>
          <t>9d72636b-2e2d-4e54-b69a-aab72e18f8a9</t>
        </is>
      </c>
      <c r="C53" s="6" t="inlineStr">
        <is>
          <t>PCP</t>
        </is>
      </c>
      <c r="D53" s="6" t="inlineStr">
        <is>
          <t>Tier 2</t>
        </is>
      </c>
      <c r="E53" s="6" t="inlineStr">
        <is>
          <t>Ortho Referrer</t>
        </is>
      </c>
      <c r="F53" s="6" t="n">
        <v>48</v>
      </c>
      <c r="G53" s="6" t="n">
        <v>0</v>
      </c>
      <c r="H53" s="6" t="inlineStr">
        <is>
          <t>1</t>
        </is>
      </c>
      <c r="I53" s="6" t="inlineStr">
        <is>
          <t>1</t>
        </is>
      </c>
      <c r="J53" s="6" t="inlineStr">
        <is>
          <t>2026-04-28</t>
        </is>
      </c>
      <c r="K53" s="6" t="inlineStr">
        <is>
          <t>2026-06-23</t>
        </is>
      </c>
      <c r="L53" s="6" t="inlineStr">
        <is>
          <t>23</t>
        </is>
      </c>
      <c r="M53" s="6" t="inlineStr">
        <is>
          <t>27</t>
        </is>
      </c>
      <c r="N53" s="6" t="inlineStr">
        <is>
          <t>21</t>
        </is>
      </c>
      <c r="O53" s="6" t="inlineStr">
        <is>
          <t>J-D22</t>
        </is>
      </c>
      <c r="P53" s="6" t="inlineStr">
        <is>
          <t>Novi</t>
        </is>
      </c>
      <c r="Q53" s="6" t="inlineStr">
        <is>
          <t>39500 West 10 mile, suite 100, Novi, MI, 48375</t>
        </is>
      </c>
      <c r="R53" s="6" t="inlineStr">
        <is>
          <t>Marshall B Sack, DO (1 ortho)</t>
        </is>
      </c>
      <c r="S53" s="6" t="inlineStr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>
      <c r="A54" s="6" t="inlineStr">
        <is>
          <t>Trinity Health Orthopedic group-Ypsilanti</t>
        </is>
      </c>
      <c r="B54" s="6" t="inlineStr">
        <is>
          <t>5fcd802e-4f68-4425-8e82-e66edfaa3720</t>
        </is>
      </c>
      <c r="C54" s="6" t="inlineStr">
        <is>
          <t>Orthopedic</t>
        </is>
      </c>
      <c r="D54" s="6" t="inlineStr">
        <is>
          <t>Tier 2</t>
        </is>
      </c>
      <c r="E54" s="6" t="inlineStr">
        <is>
          <t>Ortho Referrer</t>
        </is>
      </c>
      <c r="F54" s="6" t="n">
        <v>48</v>
      </c>
      <c r="G54" s="6" t="n">
        <v>0</v>
      </c>
      <c r="H54" s="6" t="inlineStr">
        <is>
          <t>1</t>
        </is>
      </c>
      <c r="I54" s="6" t="inlineStr">
        <is>
          <t>1</t>
        </is>
      </c>
      <c r="J54" s="6" t="inlineStr">
        <is>
          <t>2026-06-12</t>
        </is>
      </c>
      <c r="K54" s="6" t="inlineStr">
        <is>
          <t>2026-06-30</t>
        </is>
      </c>
      <c r="L54" s="6" t="inlineStr">
        <is>
          <t>16</t>
        </is>
      </c>
      <c r="M54" s="6" t="inlineStr">
        <is>
          <t>94</t>
        </is>
      </c>
      <c r="N54" s="6" t="inlineStr">
        <is>
          <t>21</t>
        </is>
      </c>
      <c r="O54" s="6" t="inlineStr">
        <is>
          <t>J-D26</t>
        </is>
      </c>
      <c r="P54" s="6" t="inlineStr">
        <is>
          <t>Ypsilanti</t>
        </is>
      </c>
      <c r="Q54" s="6" t="inlineStr">
        <is>
          <t>5315 Elliot Dr, suite 301, Ypsilanti, Michigan, 48197</t>
        </is>
      </c>
      <c r="R54" s="6" t="inlineStr">
        <is>
          <t>Jared Thomas, MD (1 ortho)</t>
        </is>
      </c>
      <c r="S54" s="6" t="inlineStr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>
      <c r="A55" s="6" t="inlineStr">
        <is>
          <t>Tri County Neurology</t>
        </is>
      </c>
      <c r="B55" s="6" t="inlineStr">
        <is>
          <t>3d10a23f-49c8-4b30-b87f-ae7465e0f588</t>
        </is>
      </c>
      <c r="C55" s="6" t="inlineStr">
        <is>
          <t>Neurology</t>
        </is>
      </c>
      <c r="D55" s="6" t="inlineStr">
        <is>
          <t>Tier 2</t>
        </is>
      </c>
      <c r="E55" s="6" t="inlineStr">
        <is>
          <t>Ortho Referrer</t>
        </is>
      </c>
      <c r="F55" s="6" t="n">
        <v>47</v>
      </c>
      <c r="G55" s="6" t="n">
        <v>0</v>
      </c>
      <c r="H55" s="6" t="inlineStr">
        <is>
          <t>1</t>
        </is>
      </c>
      <c r="I55" s="6" t="inlineStr">
        <is>
          <t>1</t>
        </is>
      </c>
      <c r="J55" s="6" t="inlineStr">
        <is>
          <t>2026-07-06</t>
        </is>
      </c>
      <c r="K55" s="6" t="inlineStr">
        <is>
          <t>2026-05-12</t>
        </is>
      </c>
      <c r="L55" s="6" t="inlineStr">
        <is>
          <t>65</t>
        </is>
      </c>
      <c r="M55" s="6" t="inlineStr">
        <is>
          <t>55</t>
        </is>
      </c>
      <c r="N55" s="6" t="inlineStr">
        <is>
          <t>21</t>
        </is>
      </c>
      <c r="O55" s="6" t="inlineStr">
        <is>
          <t>J-D06</t>
        </is>
      </c>
      <c r="P55" s="6" t="inlineStr">
        <is>
          <t>Eastpointe</t>
        </is>
      </c>
      <c r="Q55" s="6" t="inlineStr">
        <is>
          <t>18161 E 8 Mile Rd, Eastpointe, Michigan, 48021</t>
        </is>
      </c>
      <c r="R55" s="6" t="inlineStr">
        <is>
          <t>Saadia Siddiqui, MD (1 ortho)</t>
        </is>
      </c>
      <c r="S55" s="6" t="inlineStr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>
      <c r="A56" s="6" t="inlineStr">
        <is>
          <t>ACADEMIC INTERNAL MEDICINE SPECIALISTS</t>
        </is>
      </c>
      <c r="B56" s="6" t="inlineStr">
        <is>
          <t>24230075-46f5-44cf-bd8f-deb5f276aa99</t>
        </is>
      </c>
      <c r="C56" s="6" t="inlineStr">
        <is>
          <t>PCP</t>
        </is>
      </c>
      <c r="D56" s="6" t="inlineStr">
        <is>
          <t>Tier 2</t>
        </is>
      </c>
      <c r="E56" s="6" t="inlineStr">
        <is>
          <t>Ortho Referrer</t>
        </is>
      </c>
      <c r="F56" s="6" t="n">
        <v>47</v>
      </c>
      <c r="G56" s="6" t="n">
        <v>0</v>
      </c>
      <c r="H56" s="6" t="inlineStr">
        <is>
          <t>1</t>
        </is>
      </c>
      <c r="I56" s="6" t="inlineStr">
        <is>
          <t>1</t>
        </is>
      </c>
      <c r="J56" s="6" t="inlineStr">
        <is>
          <t>2026-03-10</t>
        </is>
      </c>
      <c r="K56" s="6" t="inlineStr">
        <is>
          <t>2026-06-29</t>
        </is>
      </c>
      <c r="L56" s="6" t="inlineStr">
        <is>
          <t>17</t>
        </is>
      </c>
      <c r="M56" s="6" t="inlineStr">
        <is>
          <t>7</t>
        </is>
      </c>
      <c r="N56" s="6" t="inlineStr">
        <is>
          <t>21</t>
        </is>
      </c>
      <c r="O56" s="6" t="inlineStr">
        <is>
          <t>J-D14</t>
        </is>
      </c>
      <c r="P56" s="6" t="inlineStr">
        <is>
          <t>SOUTHFIELD</t>
        </is>
      </c>
      <c r="Q56" s="6" t="inlineStr">
        <is>
          <t>22250 PROVIDENCE DR STE 301, SOUTHFIELD, Michigan, 48075</t>
        </is>
      </c>
      <c r="R56" s="6" t="inlineStr">
        <is>
          <t>Michael A Williams, MD (1 ortho)</t>
        </is>
      </c>
      <c r="S56" s="6" t="inlineStr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>
      <c r="A57" s="6" t="inlineStr">
        <is>
          <t>CENTER FOR INTERNAL MEDICINE CONTINUITY CLINIC</t>
        </is>
      </c>
      <c r="B57" s="6" t="inlineStr">
        <is>
          <t>ce969d89-5e72-4361-9024-039ad31f5bc3</t>
        </is>
      </c>
      <c r="C57" s="6" t="inlineStr">
        <is>
          <t>PCP</t>
        </is>
      </c>
      <c r="D57" s="6" t="inlineStr">
        <is>
          <t>Tier 2</t>
        </is>
      </c>
      <c r="E57" s="6" t="inlineStr">
        <is>
          <t>Ortho Referrer</t>
        </is>
      </c>
      <c r="F57" s="6" t="n">
        <v>47</v>
      </c>
      <c r="G57" s="6" t="n">
        <v>0</v>
      </c>
      <c r="H57" s="6" t="inlineStr">
        <is>
          <t>1</t>
        </is>
      </c>
      <c r="I57" s="6" t="inlineStr">
        <is>
          <t>1</t>
        </is>
      </c>
      <c r="J57" s="6" t="inlineStr">
        <is>
          <t>2026-01-13</t>
        </is>
      </c>
      <c r="K57" s="6" t="inlineStr">
        <is>
          <t>2026-06-12</t>
        </is>
      </c>
      <c r="L57" s="6" t="inlineStr">
        <is>
          <t>34</t>
        </is>
      </c>
      <c r="M57" s="6" t="inlineStr">
        <is>
          <t>29</t>
        </is>
      </c>
      <c r="N57" s="6" t="inlineStr">
        <is>
          <t>21</t>
        </is>
      </c>
      <c r="O57" s="6" t="inlineStr">
        <is>
          <t>J-D16</t>
        </is>
      </c>
      <c r="P57" s="6" t="inlineStr">
        <is>
          <t>LIVONIA</t>
        </is>
      </c>
      <c r="Q57" s="6" t="inlineStr">
        <is>
          <t>28479 7 MILE RD, LIVONIA, MI, 48152</t>
        </is>
      </c>
      <c r="R57" s="6" t="inlineStr">
        <is>
          <t>Hao Nguyen, DO (1 ortho)</t>
        </is>
      </c>
      <c r="S57" s="6" t="inlineStr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>
      <c r="A58" s="6" t="inlineStr">
        <is>
          <t>UofM Canton Health Center General Medicine</t>
        </is>
      </c>
      <c r="B58" s="6" t="inlineStr">
        <is>
          <t>400aeb1f-6186-4eb7-98c8-0544491af836</t>
        </is>
      </c>
      <c r="C58" s="6" t="inlineStr">
        <is>
          <t>PCP</t>
        </is>
      </c>
      <c r="D58" s="6" t="inlineStr">
        <is>
          <t>Tier 2</t>
        </is>
      </c>
      <c r="E58" s="6" t="inlineStr">
        <is>
          <t>Ortho Referrer</t>
        </is>
      </c>
      <c r="F58" s="6" t="n">
        <v>47</v>
      </c>
      <c r="G58" s="6" t="n">
        <v>0</v>
      </c>
      <c r="H58" s="6" t="inlineStr">
        <is>
          <t>1</t>
        </is>
      </c>
      <c r="I58" s="6" t="inlineStr">
        <is>
          <t>1</t>
        </is>
      </c>
      <c r="J58" s="6" t="inlineStr">
        <is>
          <t>2026-06-03</t>
        </is>
      </c>
      <c r="K58" s="6" t="inlineStr">
        <is>
          <t>2026-06-11</t>
        </is>
      </c>
      <c r="L58" s="6" t="inlineStr">
        <is>
          <t>35</t>
        </is>
      </c>
      <c r="M58" s="6" t="inlineStr">
        <is>
          <t>34</t>
        </is>
      </c>
      <c r="N58" s="6" t="inlineStr">
        <is>
          <t>21</t>
        </is>
      </c>
      <c r="O58" s="6" t="inlineStr">
        <is>
          <t>J-D18</t>
        </is>
      </c>
      <c r="P58" s="6" t="inlineStr">
        <is>
          <t>Canton</t>
        </is>
      </c>
      <c r="Q58" s="6" t="inlineStr">
        <is>
          <t>1051 North Canton Center Road, Canton, Michigan, 48187</t>
        </is>
      </c>
      <c r="R58" s="6" t="inlineStr">
        <is>
          <t>Kristin M Collier, MD (1 ortho)</t>
        </is>
      </c>
      <c r="S58" s="6" t="inlineStr">
        <is>
          <t>Medicaid-likely — verify payer</t>
        </is>
      </c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6" t="inlineStr">
        <is>
          <t>MI Express Urgent Care</t>
        </is>
      </c>
      <c r="B59" s="6" t="inlineStr">
        <is>
          <t>fc1455cf-74a6-4b97-b05f-e677351745de</t>
        </is>
      </c>
      <c r="C59" s="6" t="inlineStr">
        <is>
          <t>Orthopedic</t>
        </is>
      </c>
      <c r="D59" s="6" t="inlineStr">
        <is>
          <t>Tier 2</t>
        </is>
      </c>
      <c r="E59" s="6" t="inlineStr">
        <is>
          <t>Ortho Referrer</t>
        </is>
      </c>
      <c r="F59" s="6" t="n">
        <v>47</v>
      </c>
      <c r="G59" s="6" t="n">
        <v>0</v>
      </c>
      <c r="H59" s="6" t="inlineStr">
        <is>
          <t>1</t>
        </is>
      </c>
      <c r="I59" s="6" t="inlineStr">
        <is>
          <t>1</t>
        </is>
      </c>
      <c r="J59" s="6" t="inlineStr">
        <is>
          <t>2026-07-06</t>
        </is>
      </c>
      <c r="K59" s="6" t="inlineStr">
        <is>
          <t>2026-06-11</t>
        </is>
      </c>
      <c r="L59" s="6" t="inlineStr">
        <is>
          <t>35</t>
        </is>
      </c>
      <c r="M59" s="6" t="inlineStr">
        <is>
          <t>25</t>
        </is>
      </c>
      <c r="N59" s="6" t="inlineStr">
        <is>
          <t>21</t>
        </is>
      </c>
      <c r="O59" s="6" t="inlineStr">
        <is>
          <t>J-D27</t>
        </is>
      </c>
      <c r="P59" s="6" t="inlineStr">
        <is>
          <t>Ann Arbor</t>
        </is>
      </c>
      <c r="Q59" s="6" t="inlineStr">
        <is>
          <t>80 South Zeeb Road, Ann Arbor, Michigan, 48103</t>
        </is>
      </c>
      <c r="R59" s="6" t="inlineStr">
        <is>
          <t>MI Express Urgent Care (1 ortho)</t>
        </is>
      </c>
      <c r="S59" s="6" t="inlineStr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>
      <c r="A60" s="6" t="inlineStr">
        <is>
          <t>Michigan Primary Care - Eastpointe</t>
        </is>
      </c>
      <c r="B60" s="6" t="inlineStr">
        <is>
          <t>4328f444-1a86-4fbb-9849-e8a159cce3e2</t>
        </is>
      </c>
      <c r="C60" s="6" t="inlineStr">
        <is>
          <t>PCP</t>
        </is>
      </c>
      <c r="D60" s="6" t="inlineStr">
        <is>
          <t>Tier 2</t>
        </is>
      </c>
      <c r="E60" s="6" t="inlineStr">
        <is>
          <t>Ortho Referrer</t>
        </is>
      </c>
      <c r="F60" s="6" t="n">
        <v>46</v>
      </c>
      <c r="G60" s="6" t="n">
        <v>0</v>
      </c>
      <c r="H60" s="6" t="inlineStr">
        <is>
          <t>1</t>
        </is>
      </c>
      <c r="I60" s="6" t="inlineStr">
        <is>
          <t>1</t>
        </is>
      </c>
      <c r="J60" s="6" t="inlineStr">
        <is>
          <t>2026-06-04</t>
        </is>
      </c>
      <c r="K60" s="6" t="inlineStr">
        <is>
          <t>2026-05-12</t>
        </is>
      </c>
      <c r="L60" s="6" t="inlineStr">
        <is>
          <t>65</t>
        </is>
      </c>
      <c r="M60" s="6" t="inlineStr">
        <is>
          <t>23</t>
        </is>
      </c>
      <c r="N60" s="6" t="inlineStr">
        <is>
          <t>21</t>
        </is>
      </c>
      <c r="O60" s="6" t="inlineStr">
        <is>
          <t>J-D05</t>
        </is>
      </c>
      <c r="P60" s="6" t="inlineStr">
        <is>
          <t>Eastpointe</t>
        </is>
      </c>
      <c r="Q60" s="6" t="inlineStr">
        <is>
          <t>17000 E 10 Mile Rd, Eastpointe, MI, 48021</t>
        </is>
      </c>
      <c r="R60" s="6" t="inlineStr">
        <is>
          <t>Colleen Miller, NP (1 ortho)</t>
        </is>
      </c>
      <c r="S60" s="6" t="inlineStr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s="6" t="inlineStr">
        <is>
          <t>Office of Jeff The DO</t>
        </is>
      </c>
      <c r="B61" s="6" t="inlineStr">
        <is>
          <t>1710940242</t>
        </is>
      </c>
      <c r="C61" s="6" t="inlineStr">
        <is>
          <t>PCP</t>
        </is>
      </c>
      <c r="D61" s="6" t="inlineStr">
        <is>
          <t>Tier 2</t>
        </is>
      </c>
      <c r="E61" s="6" t="inlineStr">
        <is>
          <t>Ortho Referrer</t>
        </is>
      </c>
      <c r="F61" s="6" t="n">
        <v>46</v>
      </c>
      <c r="G61" s="6" t="n">
        <v>0</v>
      </c>
      <c r="H61" s="6" t="inlineStr">
        <is>
          <t>1</t>
        </is>
      </c>
      <c r="I61" s="6" t="inlineStr">
        <is>
          <t>1</t>
        </is>
      </c>
      <c r="J61" s="6" t="inlineStr">
        <is>
          <t>2026-03-19</t>
        </is>
      </c>
      <c r="K61" s="6" t="inlineStr">
        <is>
          <t>2026-07-13</t>
        </is>
      </c>
      <c r="L61" s="6" t="inlineStr">
        <is>
          <t>3</t>
        </is>
      </c>
      <c r="M61" s="6" t="inlineStr">
        <is>
          <t>28</t>
        </is>
      </c>
      <c r="N61" s="6" t="inlineStr">
        <is>
          <t>21</t>
        </is>
      </c>
      <c r="O61" s="6" t="inlineStr">
        <is>
          <t>J-D23</t>
        </is>
      </c>
      <c r="P61" s="6" t="inlineStr">
        <is>
          <t>Plymouth</t>
        </is>
      </c>
      <c r="Q61" s="6" t="inlineStr">
        <is>
          <t>990 West Ann Arbor Trail, Plymouth, Michigan, 48170</t>
        </is>
      </c>
      <c r="R61" s="6" t="inlineStr">
        <is>
          <t>Jeff Y The, DO (1 ortho)</t>
        </is>
      </c>
      <c r="S61" s="6" t="inlineStr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>
      <c r="A62" s="6" t="inlineStr">
        <is>
          <t>BADHWAR ASSOCIATES, MD, PC</t>
        </is>
      </c>
      <c r="B62" s="6" t="inlineStr">
        <is>
          <t>930e15d8-29b2-49a1-be3d-7eae0da7dc41</t>
        </is>
      </c>
      <c r="C62" s="6" t="inlineStr">
        <is>
          <t>PCP</t>
        </is>
      </c>
      <c r="D62" s="6" t="inlineStr">
        <is>
          <t>Tier 2</t>
        </is>
      </c>
      <c r="E62" s="6" t="inlineStr">
        <is>
          <t>Ortho Referrer</t>
        </is>
      </c>
      <c r="F62" s="6" t="n">
        <v>46</v>
      </c>
      <c r="G62" s="6" t="n">
        <v>0</v>
      </c>
      <c r="H62" s="6" t="inlineStr">
        <is>
          <t>1</t>
        </is>
      </c>
      <c r="I62" s="6" t="inlineStr">
        <is>
          <t>1</t>
        </is>
      </c>
      <c r="J62" s="6" t="inlineStr">
        <is>
          <t>2026-05-13</t>
        </is>
      </c>
      <c r="K62" s="6" t="inlineStr">
        <is>
          <t>2026-05-29</t>
        </is>
      </c>
      <c r="L62" s="6" t="inlineStr">
        <is>
          <t>48</t>
        </is>
      </c>
      <c r="M62" s="6" t="inlineStr">
        <is>
          <t>107</t>
        </is>
      </c>
      <c r="N62" s="6" t="inlineStr">
        <is>
          <t>21</t>
        </is>
      </c>
      <c r="O62" s="6" t="inlineStr">
        <is>
          <t>J-D28</t>
        </is>
      </c>
      <c r="P62" s="6" t="inlineStr">
        <is>
          <t>BROWNSTOWN</t>
        </is>
      </c>
      <c r="Q62" s="6" t="inlineStr">
        <is>
          <t>19135 ALLEN RD STE 106, BROWNSTOWN, MI, 48183</t>
        </is>
      </c>
      <c r="R62" s="6" t="inlineStr">
        <is>
          <t>Avlokita Badhwar, MD (1 ortho)</t>
        </is>
      </c>
      <c r="S62" s="6" t="inlineStr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>
      <c r="A63" s="6" t="inlineStr">
        <is>
          <t>Wayne Primary Care and Walk In</t>
        </is>
      </c>
      <c r="B63" s="6" t="inlineStr">
        <is>
          <t>607852d7-cb70-46f8-ac4a-ed6f36b0acf9</t>
        </is>
      </c>
      <c r="C63" s="6" t="inlineStr">
        <is>
          <t>Urgent Care</t>
        </is>
      </c>
      <c r="D63" s="6" t="inlineStr">
        <is>
          <t>Tier 2</t>
        </is>
      </c>
      <c r="E63" s="6" t="inlineStr">
        <is>
          <t>Ortho Referrer</t>
        </is>
      </c>
      <c r="F63" s="6" t="n">
        <v>45</v>
      </c>
      <c r="G63" s="6" t="n">
        <v>0</v>
      </c>
      <c r="H63" s="6" t="inlineStr">
        <is>
          <t>1</t>
        </is>
      </c>
      <c r="I63" s="6" t="inlineStr">
        <is>
          <t>1</t>
        </is>
      </c>
      <c r="J63" s="6" t="inlineStr">
        <is>
          <t>2026-01-15</t>
        </is>
      </c>
      <c r="K63" s="6" t="inlineStr">
        <is>
          <t>2026-06-08</t>
        </is>
      </c>
      <c r="L63" s="6" t="inlineStr">
        <is>
          <t>38</t>
        </is>
      </c>
      <c r="M63" s="6" t="inlineStr">
        <is>
          <t>10</t>
        </is>
      </c>
      <c r="N63" s="6" t="inlineStr">
        <is>
          <t>21</t>
        </is>
      </c>
      <c r="O63" s="6" t="inlineStr">
        <is>
          <t>J-D02</t>
        </is>
      </c>
      <c r="P63" s="6" t="inlineStr">
        <is>
          <t>Wayne</t>
        </is>
      </c>
      <c r="Q63" s="6" t="inlineStr">
        <is>
          <t>4020 Venoy Rd suite 400, Wayne, Michigan, 48184</t>
        </is>
      </c>
      <c r="R63" s="6" t="inlineStr">
        <is>
          <t>Vijay Patel, MD (1 ortho)</t>
        </is>
      </c>
      <c r="S63" s="6" t="inlineStr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>
      <c r="A64" s="6" t="inlineStr">
        <is>
          <t>MEDICAL GROUP PRACTICE, PC (Olympia health)</t>
        </is>
      </c>
      <c r="B64" s="6" t="inlineStr">
        <is>
          <t>931a0b27-6417-43b6-a15a-c3eac7f8203a</t>
        </is>
      </c>
      <c r="C64" s="6" t="inlineStr">
        <is>
          <t>PCP</t>
        </is>
      </c>
      <c r="D64" s="6" t="inlineStr">
        <is>
          <t>Tier 2</t>
        </is>
      </c>
      <c r="E64" s="6" t="inlineStr">
        <is>
          <t>Ortho Referrer</t>
        </is>
      </c>
      <c r="F64" s="6" t="n">
        <v>45</v>
      </c>
      <c r="G64" s="6" t="n">
        <v>0</v>
      </c>
      <c r="H64" s="6" t="inlineStr">
        <is>
          <t>1</t>
        </is>
      </c>
      <c r="I64" s="6" t="inlineStr">
        <is>
          <t>1</t>
        </is>
      </c>
      <c r="J64" s="6" t="inlineStr">
        <is>
          <t>2026-04-13</t>
        </is>
      </c>
      <c r="K64" s="6" t="inlineStr">
        <is>
          <t>2026-03-03</t>
        </is>
      </c>
      <c r="L64" s="6" t="inlineStr">
        <is>
          <t>135</t>
        </is>
      </c>
      <c r="M64" s="6" t="inlineStr">
        <is>
          <t>41</t>
        </is>
      </c>
      <c r="N64" s="6" t="inlineStr">
        <is>
          <t>21</t>
        </is>
      </c>
      <c r="O64" s="6" t="inlineStr">
        <is>
          <t>J-D04</t>
        </is>
      </c>
      <c r="P64" s="6" t="inlineStr">
        <is>
          <t>LIVONIA</t>
        </is>
      </c>
      <c r="Q64" s="6" t="inlineStr">
        <is>
          <t>9460 MIDDLEBELT RD, LIVONIA, MI, 48150</t>
        </is>
      </c>
      <c r="R64" s="6" t="inlineStr">
        <is>
          <t>William Paul Penn, DO (1 ortho)</t>
        </is>
      </c>
      <c r="S64" s="6" t="inlineStr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>
      <c r="A65" s="6" t="inlineStr">
        <is>
          <t>The family Doc</t>
        </is>
      </c>
      <c r="B65" s="6" t="inlineStr">
        <is>
          <t>3b5d6ffd-3a5a-4ccd-b656-e2340f7c8ea5</t>
        </is>
      </c>
      <c r="C65" s="6" t="inlineStr">
        <is>
          <t>PCP</t>
        </is>
      </c>
      <c r="D65" s="6" t="inlineStr">
        <is>
          <t>Tier 2</t>
        </is>
      </c>
      <c r="E65" s="6" t="inlineStr">
        <is>
          <t>Ortho Referrer</t>
        </is>
      </c>
      <c r="F65" s="6" t="n">
        <v>45</v>
      </c>
      <c r="G65" s="6" t="n">
        <v>0</v>
      </c>
      <c r="H65" s="6" t="inlineStr">
        <is>
          <t>1</t>
        </is>
      </c>
      <c r="I65" s="6" t="inlineStr">
        <is>
          <t>1</t>
        </is>
      </c>
      <c r="J65" s="6" t="inlineStr">
        <is>
          <t>2026-03-16</t>
        </is>
      </c>
      <c r="K65" s="6" t="inlineStr">
        <is>
          <t>2026-02-26</t>
        </is>
      </c>
      <c r="L65" s="6" t="inlineStr">
        <is>
          <t>140</t>
        </is>
      </c>
      <c r="M65" s="6" t="inlineStr">
        <is>
          <t>18</t>
        </is>
      </c>
      <c r="N65" s="6" t="inlineStr">
        <is>
          <t>21</t>
        </is>
      </c>
      <c r="O65" s="6" t="inlineStr">
        <is>
          <t>J-D11</t>
        </is>
      </c>
      <c r="P65" s="6" t="inlineStr">
        <is>
          <t>Dearborn Heights</t>
        </is>
      </c>
      <c r="Q65" s="6" t="inlineStr">
        <is>
          <t>25350 West Warren Street, Dearborn Heights, Michigan, 48127</t>
        </is>
      </c>
      <c r="R65" s="6" t="inlineStr">
        <is>
          <t>Ali I Nasrallah, MD (1 ortho)</t>
        </is>
      </c>
      <c r="S65" s="6" t="inlineStr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>
      <c r="A66" s="6" t="inlineStr">
        <is>
          <t>Care Medical Clinic of Canton</t>
        </is>
      </c>
      <c r="B66" s="6" t="inlineStr">
        <is>
          <t>1356380513</t>
        </is>
      </c>
      <c r="C66" s="6" t="inlineStr">
        <is>
          <t>PCP</t>
        </is>
      </c>
      <c r="D66" s="6" t="inlineStr">
        <is>
          <t>Tier 2</t>
        </is>
      </c>
      <c r="E66" s="6" t="inlineStr">
        <is>
          <t>Ortho Referrer</t>
        </is>
      </c>
      <c r="F66" s="6" t="n">
        <v>45</v>
      </c>
      <c r="G66" s="6" t="n">
        <v>0</v>
      </c>
      <c r="H66" s="6" t="inlineStr">
        <is>
          <t>1</t>
        </is>
      </c>
      <c r="I66" s="6" t="inlineStr">
        <is>
          <t>1</t>
        </is>
      </c>
      <c r="J66" s="6" t="inlineStr">
        <is>
          <t>2026-05-08</t>
        </is>
      </c>
      <c r="K66" s="6" t="inlineStr">
        <is>
          <t>2026-06-02</t>
        </is>
      </c>
      <c r="L66" s="6" t="inlineStr">
        <is>
          <t>44</t>
        </is>
      </c>
      <c r="M66" s="6" t="inlineStr">
        <is>
          <t>53</t>
        </is>
      </c>
      <c r="N66" s="6" t="inlineStr">
        <is>
          <t>21</t>
        </is>
      </c>
      <c r="O66" s="6" t="inlineStr">
        <is>
          <t>J-D18</t>
        </is>
      </c>
      <c r="P66" s="6" t="inlineStr">
        <is>
          <t>Canton</t>
        </is>
      </c>
      <c r="Q66" s="6" t="inlineStr">
        <is>
          <t>5730 N Lilley Rd, ste C, Canton, MI, 48187</t>
        </is>
      </c>
      <c r="R66" s="6" t="inlineStr">
        <is>
          <t>Paul G Debrincat (1 ortho)</t>
        </is>
      </c>
      <c r="S66" s="6" t="inlineStr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>
      <c r="A67" s="6" t="inlineStr">
        <is>
          <t>Corwell internal medicine and primary care</t>
        </is>
      </c>
      <c r="B67" s="6" t="inlineStr">
        <is>
          <t>3a2a1db5-c1c4-41cd-a7f3-b4e0b388e268</t>
        </is>
      </c>
      <c r="C67" s="6" t="inlineStr">
        <is>
          <t>PCP</t>
        </is>
      </c>
      <c r="D67" s="6" t="inlineStr">
        <is>
          <t>Tier 2</t>
        </is>
      </c>
      <c r="E67" s="6" t="inlineStr">
        <is>
          <t>Ortho Referrer</t>
        </is>
      </c>
      <c r="F67" s="6" t="n">
        <v>45</v>
      </c>
      <c r="G67" s="6" t="n">
        <v>0</v>
      </c>
      <c r="H67" s="6" t="inlineStr">
        <is>
          <t>1</t>
        </is>
      </c>
      <c r="I67" s="6" t="inlineStr">
        <is>
          <t>1</t>
        </is>
      </c>
      <c r="J67" s="6" t="inlineStr">
        <is>
          <t>2026-06-08</t>
        </is>
      </c>
      <c r="K67" s="6" t="inlineStr">
        <is>
          <t>2026-06-09</t>
        </is>
      </c>
      <c r="L67" s="6" t="inlineStr">
        <is>
          <t>37</t>
        </is>
      </c>
      <c r="M67" s="6" t="n">
        <v/>
      </c>
      <c r="N67" s="6" t="inlineStr">
        <is>
          <t>21</t>
        </is>
      </c>
      <c r="O67" s="6" t="inlineStr">
        <is>
          <t>J-D25</t>
        </is>
      </c>
      <c r="P67" s="6" t="inlineStr">
        <is>
          <t>Livonia</t>
        </is>
      </c>
      <c r="Q67" s="6" t="inlineStr">
        <is>
          <t>37633 Pembroke Avenue, Livonia, Michigan, 48152</t>
        </is>
      </c>
      <c r="R67" s="6" t="inlineStr">
        <is>
          <t>Elaina Vayntrub, MD (1 ortho)</t>
        </is>
      </c>
      <c r="S67" s="6" t="inlineStr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>
      <c r="A68" s="6" t="inlineStr">
        <is>
          <t>City Medical - Southgate</t>
        </is>
      </c>
      <c r="B68" s="6" t="inlineStr">
        <is>
          <t>1326021262</t>
        </is>
      </c>
      <c r="C68" s="6" t="inlineStr">
        <is>
          <t>PCP</t>
        </is>
      </c>
      <c r="D68" s="6" t="inlineStr">
        <is>
          <t>Tier 2</t>
        </is>
      </c>
      <c r="E68" s="6" t="inlineStr">
        <is>
          <t>Ortho Referrer</t>
        </is>
      </c>
      <c r="F68" s="6" t="n">
        <v>45</v>
      </c>
      <c r="G68" s="6" t="n">
        <v>0</v>
      </c>
      <c r="H68" s="6" t="inlineStr">
        <is>
          <t>1</t>
        </is>
      </c>
      <c r="I68" s="6" t="inlineStr">
        <is>
          <t>1</t>
        </is>
      </c>
      <c r="J68" s="6" t="inlineStr">
        <is>
          <t>2026-05-08</t>
        </is>
      </c>
      <c r="K68" s="6" t="inlineStr">
        <is>
          <t>2026-04-22</t>
        </is>
      </c>
      <c r="L68" s="6" t="inlineStr">
        <is>
          <t>85</t>
        </is>
      </c>
      <c r="M68" s="6" t="inlineStr">
        <is>
          <t>16</t>
        </is>
      </c>
      <c r="N68" s="6" t="inlineStr">
        <is>
          <t>21</t>
        </is>
      </c>
      <c r="O68" s="6" t="inlineStr">
        <is>
          <t>J-D28</t>
        </is>
      </c>
      <c r="P68" s="6" t="inlineStr">
        <is>
          <t>Southgate</t>
        </is>
      </c>
      <c r="Q68" s="6" t="inlineStr">
        <is>
          <t>13636 Dix Toledo, Southgate, MI, 481952432</t>
        </is>
      </c>
      <c r="R68" s="6" t="inlineStr">
        <is>
          <t>Nabeel Omar, PA-C (1 ortho)</t>
        </is>
      </c>
      <c r="S68" s="6" t="inlineStr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>
      <c r="A69" s="6" t="inlineStr">
        <is>
          <t>Schaefer Medical</t>
        </is>
      </c>
      <c r="B69" s="6" t="inlineStr">
        <is>
          <t>a5a464ab-73df-48e0-8f49-b80f6b89fc6b</t>
        </is>
      </c>
      <c r="C69" s="6" t="inlineStr">
        <is>
          <t>PCP</t>
        </is>
      </c>
      <c r="D69" s="6" t="inlineStr">
        <is>
          <t>Tier 2</t>
        </is>
      </c>
      <c r="E69" s="6" t="inlineStr">
        <is>
          <t>Ortho Referrer</t>
        </is>
      </c>
      <c r="F69" s="6" t="n">
        <v>45</v>
      </c>
      <c r="G69" s="6" t="n">
        <v>0</v>
      </c>
      <c r="H69" s="6" t="inlineStr">
        <is>
          <t>1</t>
        </is>
      </c>
      <c r="I69" s="6" t="inlineStr">
        <is>
          <t>1</t>
        </is>
      </c>
      <c r="J69" s="6" t="inlineStr">
        <is>
          <t>2026-04-17</t>
        </is>
      </c>
      <c r="K69" s="6" t="inlineStr">
        <is>
          <t>2026-05-06</t>
        </is>
      </c>
      <c r="L69" s="6" t="inlineStr">
        <is>
          <t>71</t>
        </is>
      </c>
      <c r="M69" s="6" t="inlineStr">
        <is>
          <t>85</t>
        </is>
      </c>
      <c r="N69" s="6" t="inlineStr">
        <is>
          <t>21</t>
        </is>
      </c>
      <c r="O69" s="6" t="inlineStr">
        <is>
          <t>J-D29</t>
        </is>
      </c>
      <c r="P69" s="6" t="inlineStr">
        <is>
          <t>Dearborn</t>
        </is>
      </c>
      <c r="Q69" s="6" t="inlineStr">
        <is>
          <t>5245 Schaefer Rd, Dearborn, Michigan, 48126</t>
        </is>
      </c>
      <c r="R69" s="6" t="inlineStr">
        <is>
          <t>Nesrene Ghani, MD (1 ortho)</t>
        </is>
      </c>
      <c r="S69" s="6" t="inlineStr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>
      <c r="A70" s="6" t="inlineStr">
        <is>
          <t>TERRY D HOWELL, MD, PC</t>
        </is>
      </c>
      <c r="B70" s="6" t="inlineStr">
        <is>
          <t>4e57efb6-1ae9-4171-ac14-4be29705805c</t>
        </is>
      </c>
      <c r="C70" s="6" t="inlineStr">
        <is>
          <t>PCP</t>
        </is>
      </c>
      <c r="D70" s="6" t="inlineStr">
        <is>
          <t>Tier 2</t>
        </is>
      </c>
      <c r="E70" s="6" t="inlineStr">
        <is>
          <t>Ortho Referrer</t>
        </is>
      </c>
      <c r="F70" s="6" t="n">
        <v>45</v>
      </c>
      <c r="G70" s="6" t="n">
        <v>0</v>
      </c>
      <c r="H70" s="6" t="inlineStr">
        <is>
          <t>1</t>
        </is>
      </c>
      <c r="I70" s="6" t="inlineStr">
        <is>
          <t>1</t>
        </is>
      </c>
      <c r="J70" s="6" t="inlineStr">
        <is>
          <t>2026-06-22</t>
        </is>
      </c>
      <c r="K70" s="6" t="inlineStr">
        <is>
          <t>2025-10-20</t>
        </is>
      </c>
      <c r="L70" s="6" t="inlineStr">
        <is>
          <t>269</t>
        </is>
      </c>
      <c r="M70" s="6" t="inlineStr">
        <is>
          <t>245</t>
        </is>
      </c>
      <c r="N70" s="6" t="inlineStr">
        <is>
          <t>21</t>
        </is>
      </c>
      <c r="O70" s="6" t="inlineStr">
        <is>
          <t>J-D30</t>
        </is>
      </c>
      <c r="P70" s="6" t="inlineStr">
        <is>
          <t>SALINE</t>
        </is>
      </c>
      <c r="Q70" s="6" t="inlineStr">
        <is>
          <t>401 N ANN ARBOR ST STE D, SALINE, MI, 48176</t>
        </is>
      </c>
      <c r="R70" s="6" t="inlineStr">
        <is>
          <t>Terry Howell, MD (1 ortho)</t>
        </is>
      </c>
      <c r="S70" s="6" t="inlineStr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>
      <c r="A71" s="6" t="inlineStr">
        <is>
          <t>PEDIATRIC AND ADOLESCENT CENTER</t>
        </is>
      </c>
      <c r="B71" s="6" t="inlineStr">
        <is>
          <t>31fe13d8-1060-4c98-bf75-61f09e803121</t>
        </is>
      </c>
      <c r="C71" s="6" t="inlineStr">
        <is>
          <t>Pediatrics</t>
        </is>
      </c>
      <c r="D71" s="6" t="inlineStr">
        <is>
          <t>Tier 2</t>
        </is>
      </c>
      <c r="E71" s="6" t="inlineStr">
        <is>
          <t>Ortho Referrer</t>
        </is>
      </c>
      <c r="F71" s="6" t="n">
        <v>44</v>
      </c>
      <c r="G71" s="6" t="n">
        <v>0</v>
      </c>
      <c r="H71" s="6" t="inlineStr">
        <is>
          <t>1</t>
        </is>
      </c>
      <c r="I71" s="6" t="inlineStr">
        <is>
          <t>1</t>
        </is>
      </c>
      <c r="J71" s="6" t="inlineStr">
        <is>
          <t>2026-02-09</t>
        </is>
      </c>
      <c r="K71" s="6" t="inlineStr">
        <is>
          <t>2026-04-22</t>
        </is>
      </c>
      <c r="L71" s="6" t="inlineStr">
        <is>
          <t>85</t>
        </is>
      </c>
      <c r="M71" s="6" t="inlineStr">
        <is>
          <t>98</t>
        </is>
      </c>
      <c r="N71" s="6" t="inlineStr">
        <is>
          <t>21</t>
        </is>
      </c>
      <c r="O71" s="6" t="inlineStr">
        <is>
          <t>J-D28</t>
        </is>
      </c>
      <c r="P71" s="6" t="inlineStr">
        <is>
          <t>Southgate</t>
        </is>
      </c>
      <c r="Q71" s="6" t="inlineStr">
        <is>
          <t>15555 Northline Road, Southgate, Michigan, 48195</t>
        </is>
      </c>
      <c r="R71" s="6" t="inlineStr">
        <is>
          <t>Dinesh Nayak, MD (1 ortho)</t>
        </is>
      </c>
      <c r="S71" s="6" t="inlineStr">
        <is>
          <t>Pediatric (Jul 20 rule) → Review for removal</t>
        </is>
      </c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</row>
    <row r="72">
      <c r="A72" s="6" t="inlineStr">
        <is>
          <t>CANTON FOOT &amp; Ankle SPECIALISTS</t>
        </is>
      </c>
      <c r="B72" s="6" t="inlineStr">
        <is>
          <t>13dc6a74-7486-4022-8993-7eaf6b95734e</t>
        </is>
      </c>
      <c r="C72" s="6" t="inlineStr">
        <is>
          <t>Podiatry</t>
        </is>
      </c>
      <c r="D72" s="6" t="inlineStr">
        <is>
          <t>Tier 2</t>
        </is>
      </c>
      <c r="E72" s="6" t="inlineStr">
        <is>
          <t>Ortho Referrer</t>
        </is>
      </c>
      <c r="F72" s="6" t="n">
        <v>43</v>
      </c>
      <c r="G72" s="6" t="n">
        <v>0</v>
      </c>
      <c r="H72" s="6" t="inlineStr">
        <is>
          <t>1</t>
        </is>
      </c>
      <c r="I72" s="6" t="inlineStr">
        <is>
          <t>1</t>
        </is>
      </c>
      <c r="J72" s="6" t="inlineStr">
        <is>
          <t>2026-01-20</t>
        </is>
      </c>
      <c r="K72" s="6" t="inlineStr">
        <is>
          <t>2026-01-15</t>
        </is>
      </c>
      <c r="L72" s="6" t="inlineStr">
        <is>
          <t>182</t>
        </is>
      </c>
      <c r="M72" s="6" t="inlineStr">
        <is>
          <t>5</t>
        </is>
      </c>
      <c r="N72" s="6" t="inlineStr">
        <is>
          <t>21</t>
        </is>
      </c>
      <c r="O72" s="6" t="inlineStr">
        <is>
          <t>J-D03</t>
        </is>
      </c>
      <c r="P72" s="6" t="inlineStr">
        <is>
          <t>Canton</t>
        </is>
      </c>
      <c r="Q72" s="6" t="inlineStr">
        <is>
          <t>43050 Ford Road Ste 150, Canton, Michigan, 48187</t>
        </is>
      </c>
      <c r="R72" s="6" t="inlineStr">
        <is>
          <t>Brandon Semma (1 ortho)</t>
        </is>
      </c>
      <c r="S72" s="6" t="inlineStr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>
      <c r="A73" s="6" t="inlineStr">
        <is>
          <t>Novi Medicine</t>
        </is>
      </c>
      <c r="B73" s="6" t="inlineStr">
        <is>
          <t>bd0ee186-9de1-49f1-b6f7-85fc538efd3b</t>
        </is>
      </c>
      <c r="C73" s="6" t="inlineStr">
        <is>
          <t>PCP</t>
        </is>
      </c>
      <c r="D73" s="6" t="inlineStr">
        <is>
          <t>Tier 3</t>
        </is>
      </c>
      <c r="E73" s="6" t="inlineStr">
        <is>
          <t>Other Patient Referrer</t>
        </is>
      </c>
      <c r="F73" s="6" t="n">
        <v>35</v>
      </c>
      <c r="G73" s="6" t="n">
        <v>0</v>
      </c>
      <c r="H73" s="6" t="inlineStr">
        <is>
          <t>0</t>
        </is>
      </c>
      <c r="I73" s="6" t="inlineStr">
        <is>
          <t>4</t>
        </is>
      </c>
      <c r="J73" s="6" t="inlineStr">
        <is>
          <t>2026-05-26</t>
        </is>
      </c>
      <c r="K73" s="6" t="inlineStr">
        <is>
          <t>2026-07-15</t>
        </is>
      </c>
      <c r="L73" s="6" t="inlineStr">
        <is>
          <t>1</t>
        </is>
      </c>
      <c r="M73" s="6" t="inlineStr">
        <is>
          <t>8</t>
        </is>
      </c>
      <c r="N73" s="6" t="inlineStr">
        <is>
          <t>30</t>
        </is>
      </c>
      <c r="O73" s="6" t="inlineStr">
        <is>
          <t>J-D08</t>
        </is>
      </c>
      <c r="P73" s="6" t="inlineStr">
        <is>
          <t>NOVI</t>
        </is>
      </c>
      <c r="Q73" s="6" t="inlineStr">
        <is>
          <t>39475 LEWIS DR STE 150, NOVI, MI, 48377</t>
        </is>
      </c>
      <c r="R73" s="6" t="inlineStr">
        <is>
          <t>Lowell Paul, MD</t>
        </is>
      </c>
      <c r="S73" s="6" t="inlineStr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</row>
    <row r="74">
      <c r="A74" s="6" t="inlineStr">
        <is>
          <t>DEDICATED SENIOR MEDICAL CENTER - Southfield</t>
        </is>
      </c>
      <c r="B74" s="6" t="inlineStr">
        <is>
          <t>12deaf83-0f5e-4bd5-bf07-a4026935ffd1</t>
        </is>
      </c>
      <c r="C74" s="6" t="inlineStr">
        <is>
          <t>Orthopedic</t>
        </is>
      </c>
      <c r="D74" s="6" t="inlineStr">
        <is>
          <t>Tier 3</t>
        </is>
      </c>
      <c r="E74" s="6" t="inlineStr">
        <is>
          <t>Other Patient Referrer</t>
        </is>
      </c>
      <c r="F74" s="6" t="n">
        <v>29</v>
      </c>
      <c r="G74" s="6" t="n">
        <v>0</v>
      </c>
      <c r="H74" s="6" t="inlineStr">
        <is>
          <t>0</t>
        </is>
      </c>
      <c r="I74" s="6" t="inlineStr">
        <is>
          <t>2</t>
        </is>
      </c>
      <c r="J74" s="6" t="inlineStr">
        <is>
          <t>2026-06-22</t>
        </is>
      </c>
      <c r="K74" s="6" t="inlineStr">
        <is>
          <t>2026-06-25</t>
        </is>
      </c>
      <c r="L74" s="6" t="inlineStr">
        <is>
          <t>21</t>
        </is>
      </c>
      <c r="M74" s="6" t="inlineStr">
        <is>
          <t>8</t>
        </is>
      </c>
      <c r="N74" s="6" t="inlineStr">
        <is>
          <t>30</t>
        </is>
      </c>
      <c r="O74" s="6" t="inlineStr">
        <is>
          <t>J-D14</t>
        </is>
      </c>
      <c r="P74" s="6" t="inlineStr">
        <is>
          <t>Southfield</t>
        </is>
      </c>
      <c r="Q74" s="6" t="inlineStr">
        <is>
          <t>21816 w 11 mile rd, Southfield, Michigan, 48076</t>
        </is>
      </c>
      <c r="R74" s="6" t="inlineStr">
        <is>
          <t>Sally Azzo, MD · Vishnuvardhan G Reddy, MD</t>
        </is>
      </c>
      <c r="S74" s="6" t="inlineStr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>
      <c r="A75" s="6" t="inlineStr">
        <is>
          <t>Corewell Health Farmington hills Hospital family medicine</t>
        </is>
      </c>
      <c r="B75" s="6" t="inlineStr">
        <is>
          <t>a2a230c5-b58c-4416-a519-b3d118d15202</t>
        </is>
      </c>
      <c r="C75" s="6" t="inlineStr">
        <is>
          <t>PCP</t>
        </is>
      </c>
      <c r="D75" s="6" t="inlineStr">
        <is>
          <t>Tier 3</t>
        </is>
      </c>
      <c r="E75" s="6" t="inlineStr">
        <is>
          <t>Other Patient Referrer</t>
        </is>
      </c>
      <c r="F75" s="6" t="n">
        <v>28</v>
      </c>
      <c r="G75" s="6" t="n">
        <v>0</v>
      </c>
      <c r="H75" s="6" t="inlineStr">
        <is>
          <t>0</t>
        </is>
      </c>
      <c r="I75" s="6" t="inlineStr">
        <is>
          <t>2</t>
        </is>
      </c>
      <c r="J75" s="6" t="inlineStr">
        <is>
          <t>2026-06-18</t>
        </is>
      </c>
      <c r="K75" s="6" t="inlineStr">
        <is>
          <t>2026-07-08</t>
        </is>
      </c>
      <c r="L75" s="6" t="inlineStr">
        <is>
          <t>8</t>
        </is>
      </c>
      <c r="M75" s="6" t="inlineStr">
        <is>
          <t>29.5</t>
        </is>
      </c>
      <c r="N75" s="6" t="inlineStr">
        <is>
          <t>30</t>
        </is>
      </c>
      <c r="O75" s="6" t="inlineStr">
        <is>
          <t>J-D25</t>
        </is>
      </c>
      <c r="P75" s="6" t="inlineStr">
        <is>
          <t>LIVONIA</t>
        </is>
      </c>
      <c r="Q75" s="6" t="inlineStr">
        <is>
          <t>39000 7 MILE RD Suite 4300, LIVONIA, MI, 48152</t>
        </is>
      </c>
      <c r="R75" s="6" t="inlineStr">
        <is>
          <t>Kerry L Stone, PA · Matteo Valenti, DO</t>
        </is>
      </c>
      <c r="S75" s="6" t="inlineStr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</row>
    <row r="76">
      <c r="A76" s="6" t="inlineStr">
        <is>
          <t>ASCENSION MEDICAL GROUP WEST BLOOMFIELD FAMILY PRACTICE</t>
        </is>
      </c>
      <c r="B76" s="6" t="inlineStr">
        <is>
          <t>611f52cc-838d-405e-8988-68708f39608e</t>
        </is>
      </c>
      <c r="C76" s="6" t="inlineStr">
        <is>
          <t>PCP</t>
        </is>
      </c>
      <c r="D76" s="6" t="inlineStr">
        <is>
          <t>Tier 3</t>
        </is>
      </c>
      <c r="E76" s="6" t="inlineStr">
        <is>
          <t>Other Patient Referrer</t>
        </is>
      </c>
      <c r="F76" s="6" t="n">
        <v>24</v>
      </c>
      <c r="G76" s="6" t="n">
        <v>0</v>
      </c>
      <c r="H76" s="6" t="inlineStr">
        <is>
          <t>0</t>
        </is>
      </c>
      <c r="I76" s="6" t="inlineStr">
        <is>
          <t>1</t>
        </is>
      </c>
      <c r="J76" s="6" t="inlineStr">
        <is>
          <t>2026-03-03</t>
        </is>
      </c>
      <c r="K76" s="6" t="inlineStr">
        <is>
          <t>2026-07-15</t>
        </is>
      </c>
      <c r="L76" s="6" t="inlineStr">
        <is>
          <t>1</t>
        </is>
      </c>
      <c r="M76" s="6" t="inlineStr">
        <is>
          <t>8</t>
        </is>
      </c>
      <c r="N76" s="6" t="inlineStr">
        <is>
          <t>30</t>
        </is>
      </c>
      <c r="O76" s="6" t="inlineStr">
        <is>
          <t>J-D08</t>
        </is>
      </c>
      <c r="P76" s="6" t="inlineStr">
        <is>
          <t>NOVI</t>
        </is>
      </c>
      <c r="Q76" s="6" t="inlineStr">
        <is>
          <t>28455 HAGGERTY RD STE 100, NOVI, MI, 48377</t>
        </is>
      </c>
      <c r="R76" s="6" t="inlineStr">
        <is>
          <t>Bethany Clary, MD</t>
        </is>
      </c>
      <c r="S76" s="6" t="inlineStr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>
      <c r="A77" s="6" t="inlineStr">
        <is>
          <t>PONDURI, KAVITHA, MEDICAL GROUP</t>
        </is>
      </c>
      <c r="B77" s="6" t="inlineStr">
        <is>
          <t>b873599c-56bb-4876-b2ec-95215a325efb</t>
        </is>
      </c>
      <c r="C77" s="6" t="inlineStr">
        <is>
          <t>PCP</t>
        </is>
      </c>
      <c r="D77" s="6" t="inlineStr">
        <is>
          <t>Tier 3</t>
        </is>
      </c>
      <c r="E77" s="6" t="inlineStr">
        <is>
          <t>Other Patient Referrer</t>
        </is>
      </c>
      <c r="F77" s="6" t="n">
        <v>24</v>
      </c>
      <c r="G77" s="6" t="n">
        <v>0</v>
      </c>
      <c r="H77" s="6" t="inlineStr">
        <is>
          <t>0</t>
        </is>
      </c>
      <c r="I77" s="6" t="inlineStr">
        <is>
          <t>1</t>
        </is>
      </c>
      <c r="J77" s="6" t="inlineStr">
        <is>
          <t>2026-03-23</t>
        </is>
      </c>
      <c r="K77" s="6" t="inlineStr">
        <is>
          <t>2026-07-13</t>
        </is>
      </c>
      <c r="L77" s="6" t="inlineStr">
        <is>
          <t>3</t>
        </is>
      </c>
      <c r="M77" s="6" t="inlineStr">
        <is>
          <t>14</t>
        </is>
      </c>
      <c r="N77" s="6" t="inlineStr">
        <is>
          <t>30</t>
        </is>
      </c>
      <c r="O77" s="6" t="inlineStr">
        <is>
          <t>J-D15</t>
        </is>
      </c>
      <c r="P77" s="6" t="inlineStr">
        <is>
          <t>Wayne</t>
        </is>
      </c>
      <c r="Q77" s="6" t="inlineStr">
        <is>
          <t>34659 West Michigan Avenue, Wayne, Michigan, 48184</t>
        </is>
      </c>
      <c r="R77" s="6" t="inlineStr">
        <is>
          <t>Kavitha Ponduri, MD</t>
        </is>
      </c>
      <c r="S77" s="6" t="inlineStr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</row>
    <row r="78">
      <c r="A78" s="6" t="inlineStr">
        <is>
          <t>Park Family Practice - Novi</t>
        </is>
      </c>
      <c r="B78" s="6" t="inlineStr">
        <is>
          <t>210797fc-d818-410f-94de-02c502935d29</t>
        </is>
      </c>
      <c r="C78" s="6" t="inlineStr">
        <is>
          <t>PCP</t>
        </is>
      </c>
      <c r="D78" s="6" t="inlineStr">
        <is>
          <t>Tier 3</t>
        </is>
      </c>
      <c r="E78" s="6" t="inlineStr">
        <is>
          <t>Other Patient Referrer</t>
        </is>
      </c>
      <c r="F78" s="6" t="n">
        <v>24</v>
      </c>
      <c r="G78" s="6" t="n">
        <v>0</v>
      </c>
      <c r="H78" s="6" t="inlineStr">
        <is>
          <t>0</t>
        </is>
      </c>
      <c r="I78" s="6" t="inlineStr">
        <is>
          <t>1</t>
        </is>
      </c>
      <c r="J78" s="6" t="inlineStr">
        <is>
          <t>2026-07-09</t>
        </is>
      </c>
      <c r="K78" s="6" t="inlineStr">
        <is>
          <t>2026-06-23</t>
        </is>
      </c>
      <c r="L78" s="6" t="inlineStr">
        <is>
          <t>23</t>
        </is>
      </c>
      <c r="M78" s="6" t="inlineStr">
        <is>
          <t>16</t>
        </is>
      </c>
      <c r="N78" s="6" t="inlineStr">
        <is>
          <t>30</t>
        </is>
      </c>
      <c r="O78" s="6" t="inlineStr">
        <is>
          <t>J-D20</t>
        </is>
      </c>
      <c r="P78" s="6" t="inlineStr">
        <is>
          <t>NOVI</t>
        </is>
      </c>
      <c r="Q78" s="6" t="inlineStr">
        <is>
          <t>26850 PROVIDENCE PKWY STE 370, NOVI, MI, 48374</t>
        </is>
      </c>
      <c r="R78" s="6" t="inlineStr">
        <is>
          <t>Megan Schram, PA</t>
        </is>
      </c>
      <c r="S78" s="6" t="inlineStr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6" t="inlineStr">
        <is>
          <t>Corewell Urgent Care - Novi</t>
        </is>
      </c>
      <c r="B79" s="6" t="inlineStr">
        <is>
          <t>e996949d-e85c-4588-a081-deb7cdc8510a</t>
        </is>
      </c>
      <c r="C79" s="6" t="inlineStr">
        <is>
          <t>Urgent Care</t>
        </is>
      </c>
      <c r="D79" s="6" t="inlineStr">
        <is>
          <t>Tier 3</t>
        </is>
      </c>
      <c r="E79" s="6" t="inlineStr">
        <is>
          <t>Other Patient Referrer</t>
        </is>
      </c>
      <c r="F79" s="6" t="n">
        <v>24</v>
      </c>
      <c r="G79" s="6" t="n">
        <v>0</v>
      </c>
      <c r="H79" s="6" t="inlineStr">
        <is>
          <t>0</t>
        </is>
      </c>
      <c r="I79" s="6" t="inlineStr">
        <is>
          <t>1</t>
        </is>
      </c>
      <c r="J79" s="6" t="inlineStr">
        <is>
          <t>2026-04-22</t>
        </is>
      </c>
      <c r="K79" s="6" t="inlineStr">
        <is>
          <t>2026-06-23</t>
        </is>
      </c>
      <c r="L79" s="6" t="inlineStr">
        <is>
          <t>23</t>
        </is>
      </c>
      <c r="M79" s="6" t="inlineStr">
        <is>
          <t>21</t>
        </is>
      </c>
      <c r="N79" s="6" t="inlineStr">
        <is>
          <t>30</t>
        </is>
      </c>
      <c r="O79" s="6" t="inlineStr">
        <is>
          <t>J-D20</t>
        </is>
      </c>
      <c r="P79" s="6" t="inlineStr">
        <is>
          <t>Novi</t>
        </is>
      </c>
      <c r="Q79" s="6" t="inlineStr">
        <is>
          <t>43535 Grand River, Novi, Michigan, 48375</t>
        </is>
      </c>
      <c r="R79" s="6" t="inlineStr">
        <is>
          <t>Corewell Urgent Care - Novi</t>
        </is>
      </c>
      <c r="S79" s="6" t="inlineStr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</row>
    <row r="80">
      <c r="A80" s="6" t="inlineStr">
        <is>
          <t>BEAUMONT FAMILY MEDICINE GARDEN CITY</t>
        </is>
      </c>
      <c r="B80" s="6" t="inlineStr">
        <is>
          <t>796ef668-29ca-4cac-84b8-fd8125eb6bde</t>
        </is>
      </c>
      <c r="C80" s="6" t="inlineStr">
        <is>
          <t>PCP</t>
        </is>
      </c>
      <c r="D80" s="6" t="inlineStr">
        <is>
          <t>Tier 3</t>
        </is>
      </c>
      <c r="E80" s="6" t="inlineStr">
        <is>
          <t>Other Patient Referrer</t>
        </is>
      </c>
      <c r="F80" s="6" t="n">
        <v>23</v>
      </c>
      <c r="G80" s="6" t="n">
        <v>0</v>
      </c>
      <c r="H80" s="6" t="inlineStr">
        <is>
          <t>0</t>
        </is>
      </c>
      <c r="I80" s="6" t="inlineStr">
        <is>
          <t>1</t>
        </is>
      </c>
      <c r="J80" s="6" t="inlineStr">
        <is>
          <t>2026-03-30</t>
        </is>
      </c>
      <c r="K80" s="6" t="inlineStr">
        <is>
          <t>2026-06-15</t>
        </is>
      </c>
      <c r="L80" s="6" t="inlineStr">
        <is>
          <t>31</t>
        </is>
      </c>
      <c r="M80" s="6" t="inlineStr">
        <is>
          <t>27</t>
        </is>
      </c>
      <c r="N80" s="6" t="inlineStr">
        <is>
          <t>30</t>
        </is>
      </c>
      <c r="O80" s="6" t="inlineStr">
        <is>
          <t>J-D02</t>
        </is>
      </c>
      <c r="P80" s="6" t="inlineStr">
        <is>
          <t>GARDEN CITY</t>
        </is>
      </c>
      <c r="Q80" s="6" t="inlineStr">
        <is>
          <t>29150 FORD RD, GARDEN CITY, MI, 48135</t>
        </is>
      </c>
      <c r="R80" s="6" t="inlineStr">
        <is>
          <t>Mariam Abdulghani, MD</t>
        </is>
      </c>
      <c r="S80" s="6" t="inlineStr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>
      <c r="A81" s="6" t="inlineStr">
        <is>
          <t>SOUTHFIELD URGENT CARE</t>
        </is>
      </c>
      <c r="B81" s="6" t="inlineStr">
        <is>
          <t>f8db03fe-3188-4a31-b4ee-6010086c7552</t>
        </is>
      </c>
      <c r="C81" s="6" t="inlineStr">
        <is>
          <t>Urgent Care</t>
        </is>
      </c>
      <c r="D81" s="6" t="inlineStr">
        <is>
          <t>Tier 3</t>
        </is>
      </c>
      <c r="E81" s="6" t="inlineStr">
        <is>
          <t>Other Patient Referrer</t>
        </is>
      </c>
      <c r="F81" s="6" t="n">
        <v>22</v>
      </c>
      <c r="G81" s="6" t="n">
        <v>0</v>
      </c>
      <c r="H81" s="6" t="inlineStr">
        <is>
          <t>0</t>
        </is>
      </c>
      <c r="I81" s="6" t="inlineStr">
        <is>
          <t>1</t>
        </is>
      </c>
      <c r="J81" s="6" t="inlineStr">
        <is>
          <t>2026-06-08</t>
        </is>
      </c>
      <c r="K81" s="6" t="inlineStr">
        <is>
          <t>2026-06-29</t>
        </is>
      </c>
      <c r="L81" s="6" t="inlineStr">
        <is>
          <t>17</t>
        </is>
      </c>
      <c r="M81" s="6" t="inlineStr">
        <is>
          <t>87</t>
        </is>
      </c>
      <c r="N81" s="6" t="inlineStr">
        <is>
          <t>30</t>
        </is>
      </c>
      <c r="O81" s="6" t="inlineStr">
        <is>
          <t>J-D14</t>
        </is>
      </c>
      <c r="P81" s="6" t="inlineStr">
        <is>
          <t>SOUTHFIELD</t>
        </is>
      </c>
      <c r="Q81" s="6" t="inlineStr">
        <is>
          <t>23832 SOUTHFIELD RD STE 1, SOUTHFIELD, Michigan</t>
        </is>
      </c>
      <c r="R81" s="6" t="inlineStr">
        <is>
          <t>Southfield Urgent Care</t>
        </is>
      </c>
      <c r="S81" s="6" t="inlineStr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</row>
    <row r="82">
      <c r="A82" s="6" t="inlineStr">
        <is>
          <t>Integrative Family Medicine Clinic - Domino's Farms (U of M)</t>
        </is>
      </c>
      <c r="B82" s="6" t="inlineStr">
        <is>
          <t>2ca32d51-676d-49f5-8e79-835774431e9d</t>
        </is>
      </c>
      <c r="C82" s="6" t="inlineStr">
        <is>
          <t>PCP</t>
        </is>
      </c>
      <c r="D82" s="6" t="inlineStr">
        <is>
          <t>Tier 3</t>
        </is>
      </c>
      <c r="E82" s="6" t="inlineStr">
        <is>
          <t>Other Patient Referrer</t>
        </is>
      </c>
      <c r="F82" s="6" t="n">
        <v>21</v>
      </c>
      <c r="G82" s="6" t="n">
        <v>0</v>
      </c>
      <c r="H82" s="6" t="inlineStr">
        <is>
          <t>0</t>
        </is>
      </c>
      <c r="I82" s="6" t="inlineStr">
        <is>
          <t>1</t>
        </is>
      </c>
      <c r="J82" s="6" t="inlineStr">
        <is>
          <t>2026-03-31</t>
        </is>
      </c>
      <c r="K82" s="6" t="inlineStr">
        <is>
          <t>2026-04-15</t>
        </is>
      </c>
      <c r="L82" s="6" t="inlineStr">
        <is>
          <t>92</t>
        </is>
      </c>
      <c r="M82" s="6" t="inlineStr">
        <is>
          <t>40</t>
        </is>
      </c>
      <c r="N82" s="6" t="inlineStr">
        <is>
          <t>30</t>
        </is>
      </c>
      <c r="O82" s="6" t="inlineStr">
        <is>
          <t>J-D27</t>
        </is>
      </c>
      <c r="P82" s="6" t="inlineStr">
        <is>
          <t>Ann Arbor</t>
        </is>
      </c>
      <c r="Q82" s="6" t="inlineStr">
        <is>
          <t>24 Frank Lloyd Wright Dr ste 2300 lobby h, Ann Arbor, Michigan, 48105</t>
        </is>
      </c>
      <c r="R82" s="6" t="inlineStr">
        <is>
          <t>Gregory Shumer, MD</t>
        </is>
      </c>
      <c r="S82" s="6" t="inlineStr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>
      <c r="A83" s="6" t="inlineStr">
        <is>
          <t>Henry Ford Athletic Medicine - Novi (relevance?)</t>
        </is>
      </c>
      <c r="B83" s="6" t="inlineStr">
        <is>
          <t>c19d8067-80c5-4305-b690-7e5ee2391049</t>
        </is>
      </c>
      <c r="C83" s="6" t="inlineStr">
        <is>
          <t>Orthopedic</t>
        </is>
      </c>
      <c r="D83" s="6" t="inlineStr">
        <is>
          <t>Prospect</t>
        </is>
      </c>
      <c r="E83" s="6" t="inlineStr">
        <is>
          <t>Visit / Prospect</t>
        </is>
      </c>
      <c r="F83" s="6" t="n">
        <v>12</v>
      </c>
      <c r="G83" s="6" t="n">
        <v>0</v>
      </c>
      <c r="H83" s="6" t="inlineStr">
        <is>
          <t>0</t>
        </is>
      </c>
      <c r="I83" s="6" t="inlineStr">
        <is>
          <t>0</t>
        </is>
      </c>
      <c r="J83" s="6" t="inlineStr"/>
      <c r="K83" s="6" t="inlineStr">
        <is>
          <t>2026-06-24</t>
        </is>
      </c>
      <c r="L83" s="6" t="inlineStr">
        <is>
          <t>22</t>
        </is>
      </c>
      <c r="M83" s="6" t="n">
        <v/>
      </c>
      <c r="N83" s="6" t="inlineStr">
        <is>
          <t>45</t>
        </is>
      </c>
      <c r="O83" s="6" t="inlineStr">
        <is>
          <t>J-D08</t>
        </is>
      </c>
      <c r="P83" s="6" t="inlineStr">
        <is>
          <t>Novi</t>
        </is>
      </c>
      <c r="Q83" s="6" t="inlineStr">
        <is>
          <t>39450 West 12 Mile Road, Novi, Michigan, 48377</t>
        </is>
      </c>
      <c r="R83" s="6" t="inlineStr"/>
      <c r="S83" s="6" t="inlineStr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</row>
    <row r="84">
      <c r="A84" s="6" t="inlineStr">
        <is>
          <t>Fox Run, PC(delete)</t>
        </is>
      </c>
      <c r="B84" s="6" t="inlineStr">
        <is>
          <t>bb1e72ee-479c-42da-96ea-e71d67a1c702</t>
        </is>
      </c>
      <c r="C84" s="6" t="inlineStr">
        <is>
          <t>Pain</t>
        </is>
      </c>
      <c r="D84" s="6" t="inlineStr">
        <is>
          <t>Prospect</t>
        </is>
      </c>
      <c r="E84" s="6" t="inlineStr">
        <is>
          <t>Visit / Prospect</t>
        </is>
      </c>
      <c r="F84" s="6" t="n">
        <v>12</v>
      </c>
      <c r="G84" s="6" t="n">
        <v>0</v>
      </c>
      <c r="H84" s="6" t="inlineStr">
        <is>
          <t>0</t>
        </is>
      </c>
      <c r="I84" s="6" t="inlineStr">
        <is>
          <t>0</t>
        </is>
      </c>
      <c r="J84" s="6" t="inlineStr"/>
      <c r="K84" s="6" t="inlineStr">
        <is>
          <t>2026-07-01</t>
        </is>
      </c>
      <c r="L84" s="6" t="inlineStr">
        <is>
          <t>15</t>
        </is>
      </c>
      <c r="M84" s="6" t="n">
        <v/>
      </c>
      <c r="N84" s="6" t="inlineStr">
        <is>
          <t>45</t>
        </is>
      </c>
      <c r="O84" s="6" t="inlineStr">
        <is>
          <t>J-D08</t>
        </is>
      </c>
      <c r="P84" s="6" t="inlineStr">
        <is>
          <t>Novi</t>
        </is>
      </c>
      <c r="Q84" s="6" t="inlineStr">
        <is>
          <t>41000 Fox Run Road, Novi, Michigan, 48377</t>
        </is>
      </c>
      <c r="R84" s="6" t="inlineStr"/>
      <c r="S84" s="6" t="inlineStr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>
      <c r="A85" s="6" t="inlineStr">
        <is>
          <t>Jeffrey T. Najor Internal Medicine</t>
        </is>
      </c>
      <c r="B85" s="6" t="inlineStr">
        <is>
          <t>4900eaa5-f2a9-42ff-85ea-b3a57c7103ea</t>
        </is>
      </c>
      <c r="C85" s="6" t="inlineStr">
        <is>
          <t>Orthopedic</t>
        </is>
      </c>
      <c r="D85" s="6" t="inlineStr">
        <is>
          <t>Prospect</t>
        </is>
      </c>
      <c r="E85" s="6" t="inlineStr">
        <is>
          <t>Visit / Prospect</t>
        </is>
      </c>
      <c r="F85" s="6" t="n">
        <v>12</v>
      </c>
      <c r="G85" s="6" t="n">
        <v>0</v>
      </c>
      <c r="H85" s="6" t="inlineStr">
        <is>
          <t>0</t>
        </is>
      </c>
      <c r="I85" s="6" t="inlineStr">
        <is>
          <t>0</t>
        </is>
      </c>
      <c r="J85" s="6" t="inlineStr"/>
      <c r="K85" s="6" t="inlineStr">
        <is>
          <t>2026-07-01</t>
        </is>
      </c>
      <c r="L85" s="6" t="inlineStr">
        <is>
          <t>15</t>
        </is>
      </c>
      <c r="M85" s="6" t="n">
        <v/>
      </c>
      <c r="N85" s="6" t="inlineStr">
        <is>
          <t>45</t>
        </is>
      </c>
      <c r="O85" s="6" t="inlineStr">
        <is>
          <t>J-D11</t>
        </is>
      </c>
      <c r="P85" s="6" t="inlineStr">
        <is>
          <t>Southfield</t>
        </is>
      </c>
      <c r="Q85" s="6" t="inlineStr">
        <is>
          <t>24060 West Nine Mile Road, Southfield, Michigan, 48033</t>
        </is>
      </c>
      <c r="R85" s="6" t="inlineStr"/>
      <c r="S85" s="6" t="inlineStr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</row>
    <row r="86">
      <c r="A86" s="6" t="inlineStr">
        <is>
          <t>Michigan Orthopedic Surgeons - Novi</t>
        </is>
      </c>
      <c r="B86" s="6" t="inlineStr">
        <is>
          <t>82d5377e-3d89-4262-93c3-5661a3430b58</t>
        </is>
      </c>
      <c r="C86" s="6" t="inlineStr">
        <is>
          <t>Orthopedic</t>
        </is>
      </c>
      <c r="D86" s="6" t="inlineStr">
        <is>
          <t>Prospect</t>
        </is>
      </c>
      <c r="E86" s="6" t="inlineStr">
        <is>
          <t>Visit / Prospect</t>
        </is>
      </c>
      <c r="F86" s="6" t="n">
        <v>12</v>
      </c>
      <c r="G86" s="6" t="n">
        <v>0</v>
      </c>
      <c r="H86" s="6" t="inlineStr">
        <is>
          <t>0</t>
        </is>
      </c>
      <c r="I86" s="6" t="inlineStr">
        <is>
          <t>0</t>
        </is>
      </c>
      <c r="J86" s="6" t="inlineStr"/>
      <c r="K86" s="6" t="inlineStr">
        <is>
          <t>2026-07-10</t>
        </is>
      </c>
      <c r="L86" s="6" t="inlineStr">
        <is>
          <t>6</t>
        </is>
      </c>
      <c r="M86" s="6" t="n">
        <v/>
      </c>
      <c r="N86" s="6" t="inlineStr">
        <is>
          <t>45</t>
        </is>
      </c>
      <c r="O86" s="6" t="inlineStr">
        <is>
          <t>J-D12</t>
        </is>
      </c>
      <c r="P86" s="6" t="inlineStr">
        <is>
          <t>Novi</t>
        </is>
      </c>
      <c r="Q86" s="6" t="inlineStr">
        <is>
          <t>26750 Providence Pkwy ste 220, Novi, Michigan, 48374</t>
        </is>
      </c>
      <c r="R86" s="6" t="inlineStr"/>
      <c r="S86" s="6" t="inlineStr">
        <is>
          <t>Possible competitor (Jul 20 rule) → Review for removal</t>
        </is>
      </c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>
      <c r="A87" s="6" t="inlineStr">
        <is>
          <t>Michigan Orthopedic Surgeons- Southfield</t>
        </is>
      </c>
      <c r="B87" s="6" t="inlineStr">
        <is>
          <t>e1c8dbbf-56d1-41b9-82e4-7fa1950cb943</t>
        </is>
      </c>
      <c r="C87" s="6" t="inlineStr">
        <is>
          <t>Orthopedic</t>
        </is>
      </c>
      <c r="D87" s="6" t="inlineStr">
        <is>
          <t>Prospect</t>
        </is>
      </c>
      <c r="E87" s="6" t="inlineStr">
        <is>
          <t>Visit / Prospect</t>
        </is>
      </c>
      <c r="F87" s="6" t="n">
        <v>12</v>
      </c>
      <c r="G87" s="6" t="n">
        <v>0</v>
      </c>
      <c r="H87" s="6" t="inlineStr">
        <is>
          <t>0</t>
        </is>
      </c>
      <c r="I87" s="6" t="inlineStr">
        <is>
          <t>0</t>
        </is>
      </c>
      <c r="J87" s="6" t="inlineStr"/>
      <c r="K87" s="6" t="inlineStr">
        <is>
          <t>2026-07-01</t>
        </is>
      </c>
      <c r="L87" s="6" t="inlineStr">
        <is>
          <t>15</t>
        </is>
      </c>
      <c r="M87" s="6" t="n">
        <v/>
      </c>
      <c r="N87" s="6" t="inlineStr">
        <is>
          <t>45</t>
        </is>
      </c>
      <c r="O87" s="6" t="inlineStr">
        <is>
          <t>J-D14</t>
        </is>
      </c>
      <c r="P87" s="6" t="inlineStr">
        <is>
          <t>Southfield</t>
        </is>
      </c>
      <c r="Q87" s="6" t="inlineStr">
        <is>
          <t>26025 Lahser Rd, Southfield, Michigan, 48033</t>
        </is>
      </c>
      <c r="R87" s="6" t="inlineStr"/>
      <c r="S87" s="6" t="inlineStr">
        <is>
          <t>Possible competitor (Jul 20 rule) → Review for removal</t>
        </is>
      </c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</row>
    <row r="88">
      <c r="A88" s="6" t="inlineStr">
        <is>
          <t>Trinity URGENT CARE CANTON</t>
        </is>
      </c>
      <c r="B88" s="6" t="inlineStr">
        <is>
          <t>c78e3b81-c68a-4687-a4e9-a88863c2c873</t>
        </is>
      </c>
      <c r="C88" s="6" t="inlineStr">
        <is>
          <t>Orthopedic</t>
        </is>
      </c>
      <c r="D88" s="6" t="inlineStr">
        <is>
          <t>Prospect</t>
        </is>
      </c>
      <c r="E88" s="6" t="inlineStr">
        <is>
          <t>Visit / Prospect</t>
        </is>
      </c>
      <c r="F88" s="6" t="n">
        <v>12</v>
      </c>
      <c r="G88" s="6" t="n">
        <v>0</v>
      </c>
      <c r="H88" s="6" t="inlineStr">
        <is>
          <t>0</t>
        </is>
      </c>
      <c r="I88" s="6" t="inlineStr">
        <is>
          <t>0</t>
        </is>
      </c>
      <c r="J88" s="6" t="inlineStr"/>
      <c r="K88" s="6" t="inlineStr">
        <is>
          <t>2026-07-15</t>
        </is>
      </c>
      <c r="L88" s="6" t="inlineStr">
        <is>
          <t>1</t>
        </is>
      </c>
      <c r="M88" s="6" t="n">
        <v/>
      </c>
      <c r="N88" s="6" t="inlineStr">
        <is>
          <t>45</t>
        </is>
      </c>
      <c r="O88" s="6" t="inlineStr">
        <is>
          <t>J-D15</t>
        </is>
      </c>
      <c r="P88" s="6" t="inlineStr">
        <is>
          <t>Canton</t>
        </is>
      </c>
      <c r="Q88" s="6" t="inlineStr">
        <is>
          <t>1600 S Canton Center Road, Canton, Michigan, 48188</t>
        </is>
      </c>
      <c r="R88" s="6" t="inlineStr"/>
      <c r="S88" s="6" t="inlineStr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>
      <c r="A89" s="6" t="inlineStr">
        <is>
          <t>Trinity IHA Academic Family Medicine - Livonia</t>
        </is>
      </c>
      <c r="B89" s="6" t="inlineStr">
        <is>
          <t>5c7c8073-5fc6-42f5-bc75-0b9f8a07e484</t>
        </is>
      </c>
      <c r="C89" s="6" t="inlineStr">
        <is>
          <t>Pain</t>
        </is>
      </c>
      <c r="D89" s="6" t="inlineStr">
        <is>
          <t>Prospect</t>
        </is>
      </c>
      <c r="E89" s="6" t="inlineStr">
        <is>
          <t>Visit / Prospect</t>
        </is>
      </c>
      <c r="F89" s="6" t="n">
        <v>12</v>
      </c>
      <c r="G89" s="6" t="n">
        <v>0</v>
      </c>
      <c r="H89" s="6" t="inlineStr">
        <is>
          <t>0</t>
        </is>
      </c>
      <c r="I89" s="6" t="inlineStr">
        <is>
          <t>0</t>
        </is>
      </c>
      <c r="J89" s="6" t="inlineStr"/>
      <c r="K89" s="6" t="inlineStr">
        <is>
          <t>2026-07-16</t>
        </is>
      </c>
      <c r="L89" s="6" t="inlineStr">
        <is>
          <t>0</t>
        </is>
      </c>
      <c r="M89" s="6" t="n">
        <v/>
      </c>
      <c r="N89" s="6" t="inlineStr">
        <is>
          <t>45</t>
        </is>
      </c>
      <c r="O89" s="6" t="inlineStr">
        <is>
          <t>J-D17</t>
        </is>
      </c>
      <c r="P89" s="6" t="inlineStr">
        <is>
          <t>LIVONIA</t>
        </is>
      </c>
      <c r="Q89" s="6" t="inlineStr">
        <is>
          <t>37595 7 mile rd, ste 210, LIVONIA, Michigan, 48152</t>
        </is>
      </c>
      <c r="R89" s="6" t="inlineStr"/>
      <c r="S89" s="6" t="inlineStr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</row>
    <row r="90">
      <c r="A90" s="6" t="inlineStr">
        <is>
          <t>Michigan Spine &amp; Brain - Novi</t>
        </is>
      </c>
      <c r="B90" s="6" t="inlineStr">
        <is>
          <t>eaa06235-6a42-4ef9-9f14-9fd1b4ed4610</t>
        </is>
      </c>
      <c r="C90" s="6" t="inlineStr">
        <is>
          <t>Orthopedic</t>
        </is>
      </c>
      <c r="D90" s="6" t="inlineStr">
        <is>
          <t>Prospect</t>
        </is>
      </c>
      <c r="E90" s="6" t="inlineStr">
        <is>
          <t>Visit / Prospect</t>
        </is>
      </c>
      <c r="F90" s="6" t="n">
        <v>12</v>
      </c>
      <c r="G90" s="6" t="n">
        <v>0</v>
      </c>
      <c r="H90" s="6" t="inlineStr">
        <is>
          <t>0</t>
        </is>
      </c>
      <c r="I90" s="6" t="inlineStr">
        <is>
          <t>0</t>
        </is>
      </c>
      <c r="J90" s="6" t="inlineStr"/>
      <c r="K90" s="6" t="inlineStr">
        <is>
          <t>2026-06-23</t>
        </is>
      </c>
      <c r="L90" s="6" t="inlineStr">
        <is>
          <t>23</t>
        </is>
      </c>
      <c r="M90" s="6" t="n">
        <v/>
      </c>
      <c r="N90" s="6" t="inlineStr">
        <is>
          <t>45</t>
        </is>
      </c>
      <c r="O90" s="6" t="inlineStr">
        <is>
          <t>J-D20</t>
        </is>
      </c>
      <c r="P90" s="6" t="inlineStr">
        <is>
          <t>Novi</t>
        </is>
      </c>
      <c r="Q90" s="6" t="inlineStr">
        <is>
          <t>26850 Providence Pkwy ste 240, Novi, Michigan, 48374</t>
        </is>
      </c>
      <c r="R90" s="6" t="inlineStr"/>
      <c r="S90" s="6" t="inlineStr">
        <is>
          <t>Ortho group w/ in-house spine? verify (Jul 20 rule) → Review for removal</t>
        </is>
      </c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>
      <c r="A91" s="6" t="inlineStr">
        <is>
          <t>PAIN MANAGEMENT ASSOCIATES OF MICHIGAN</t>
        </is>
      </c>
      <c r="B91" s="6" t="inlineStr">
        <is>
          <t>69716ccc-b2b9-4d7b-8f77-69ecd79273be</t>
        </is>
      </c>
      <c r="C91" s="6" t="inlineStr">
        <is>
          <t>Orthopedic</t>
        </is>
      </c>
      <c r="D91" s="6" t="inlineStr">
        <is>
          <t>Prospect</t>
        </is>
      </c>
      <c r="E91" s="6" t="inlineStr">
        <is>
          <t>Visit / Prospect</t>
        </is>
      </c>
      <c r="F91" s="6" t="n">
        <v>12</v>
      </c>
      <c r="G91" s="6" t="n">
        <v>0</v>
      </c>
      <c r="H91" s="6" t="inlineStr">
        <is>
          <t>0</t>
        </is>
      </c>
      <c r="I91" s="6" t="inlineStr">
        <is>
          <t>0</t>
        </is>
      </c>
      <c r="J91" s="6" t="inlineStr"/>
      <c r="K91" s="6" t="inlineStr">
        <is>
          <t>2026-07-14</t>
        </is>
      </c>
      <c r="L91" s="6" t="inlineStr">
        <is>
          <t>2</t>
        </is>
      </c>
      <c r="M91" s="6" t="n">
        <v/>
      </c>
      <c r="N91" s="6" t="inlineStr">
        <is>
          <t>45</t>
        </is>
      </c>
      <c r="O91" s="6" t="inlineStr">
        <is>
          <t>J-D21</t>
        </is>
      </c>
      <c r="P91" s="6" t="inlineStr">
        <is>
          <t>Dearborn</t>
        </is>
      </c>
      <c r="Q91" s="6" t="inlineStr">
        <is>
          <t>24327 Ford Road, Dearborn, Michigan, 48128</t>
        </is>
      </c>
      <c r="R91" s="6" t="inlineStr"/>
      <c r="S91" s="6" t="inlineStr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</row>
    <row r="92">
      <c r="A92" s="6" t="inlineStr">
        <is>
          <t>ORTHOPEDIC SURGERY SPECIALISTS, PLLC</t>
        </is>
      </c>
      <c r="B92" s="6" t="inlineStr">
        <is>
          <t>03a214ff-22eb-4e89-b7a8-7b939d30700e</t>
        </is>
      </c>
      <c r="C92" s="6" t="inlineStr">
        <is>
          <t>Orthopedic</t>
        </is>
      </c>
      <c r="D92" s="6" t="inlineStr">
        <is>
          <t>Prospect</t>
        </is>
      </c>
      <c r="E92" s="6" t="inlineStr">
        <is>
          <t>Visit / Prospect</t>
        </is>
      </c>
      <c r="F92" s="6" t="n">
        <v>12</v>
      </c>
      <c r="G92" s="6" t="n">
        <v>0</v>
      </c>
      <c r="H92" s="6" t="inlineStr">
        <is>
          <t>0</t>
        </is>
      </c>
      <c r="I92" s="6" t="inlineStr">
        <is>
          <t>0</t>
        </is>
      </c>
      <c r="J92" s="6" t="inlineStr"/>
      <c r="K92" s="6" t="inlineStr">
        <is>
          <t>2026-07-10</t>
        </is>
      </c>
      <c r="L92" s="6" t="inlineStr">
        <is>
          <t>6</t>
        </is>
      </c>
      <c r="M92" s="6" t="n">
        <v/>
      </c>
      <c r="N92" s="6" t="inlineStr">
        <is>
          <t>45</t>
        </is>
      </c>
      <c r="O92" s="6" t="inlineStr">
        <is>
          <t>J-D22</t>
        </is>
      </c>
      <c r="P92" s="6" t="inlineStr">
        <is>
          <t>NOVI</t>
        </is>
      </c>
      <c r="Q92" s="6" t="inlineStr">
        <is>
          <t>25500 MEADOWBROOK RD STE 275, NOVI, MI, 48375</t>
        </is>
      </c>
      <c r="R92" s="6" t="inlineStr"/>
      <c r="S92" s="6" t="inlineStr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>
      <c r="A93" s="6" t="inlineStr">
        <is>
          <t>PRIMECARE URGENT CARE, PLLC</t>
        </is>
      </c>
      <c r="B93" s="6" t="inlineStr">
        <is>
          <t>448849c6-b351-4856-9d82-1b2e8d15f7ee</t>
        </is>
      </c>
      <c r="C93" s="6" t="inlineStr">
        <is>
          <t>Orthopedic</t>
        </is>
      </c>
      <c r="D93" s="6" t="inlineStr">
        <is>
          <t>Prospect</t>
        </is>
      </c>
      <c r="E93" s="6" t="inlineStr">
        <is>
          <t>Visit / Prospect</t>
        </is>
      </c>
      <c r="F93" s="6" t="n">
        <v>12</v>
      </c>
      <c r="G93" s="6" t="n">
        <v>0</v>
      </c>
      <c r="H93" s="6" t="inlineStr">
        <is>
          <t>0</t>
        </is>
      </c>
      <c r="I93" s="6" t="inlineStr">
        <is>
          <t>0</t>
        </is>
      </c>
      <c r="J93" s="6" t="inlineStr"/>
      <c r="K93" s="6" t="inlineStr">
        <is>
          <t>2026-07-01</t>
        </is>
      </c>
      <c r="L93" s="6" t="inlineStr">
        <is>
          <t>15</t>
        </is>
      </c>
      <c r="M93" s="6" t="n">
        <v/>
      </c>
      <c r="N93" s="6" t="inlineStr">
        <is>
          <t>45</t>
        </is>
      </c>
      <c r="O93" s="6" t="inlineStr">
        <is>
          <t>J-D22</t>
        </is>
      </c>
      <c r="P93" s="6" t="inlineStr">
        <is>
          <t>Novi</t>
        </is>
      </c>
      <c r="Q93" s="6" t="inlineStr">
        <is>
          <t>39555 West 10 Mile Road, Novi, Michigan, 48375</t>
        </is>
      </c>
      <c r="R93" s="6" t="inlineStr"/>
      <c r="S93" s="6" t="inlineStr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</row>
    <row r="94">
      <c r="A94" s="6" t="inlineStr">
        <is>
          <t>ORTHOPEDIC INSTITUTE OF MICHIGAN</t>
        </is>
      </c>
      <c r="B94" s="6" t="inlineStr">
        <is>
          <t>7cbc93fd-5b51-41c8-8f3e-0afb5d09b1e4</t>
        </is>
      </c>
      <c r="C94" s="6" t="inlineStr">
        <is>
          <t>Orthopedic</t>
        </is>
      </c>
      <c r="D94" s="6" t="inlineStr">
        <is>
          <t>Prospect</t>
        </is>
      </c>
      <c r="E94" s="6" t="inlineStr">
        <is>
          <t>Visit / Prospect</t>
        </is>
      </c>
      <c r="F94" s="6" t="n">
        <v>12</v>
      </c>
      <c r="G94" s="6" t="n">
        <v>0</v>
      </c>
      <c r="H94" s="6" t="inlineStr">
        <is>
          <t>0</t>
        </is>
      </c>
      <c r="I94" s="6" t="inlineStr">
        <is>
          <t>0</t>
        </is>
      </c>
      <c r="J94" s="6" t="inlineStr"/>
      <c r="K94" s="6" t="inlineStr">
        <is>
          <t>2026-07-08</t>
        </is>
      </c>
      <c r="L94" s="6" t="inlineStr">
        <is>
          <t>8</t>
        </is>
      </c>
      <c r="M94" s="6" t="n">
        <v/>
      </c>
      <c r="N94" s="6" t="inlineStr">
        <is>
          <t>45</t>
        </is>
      </c>
      <c r="O94" s="6" t="inlineStr">
        <is>
          <t>J-D25</t>
        </is>
      </c>
      <c r="P94" s="6" t="inlineStr">
        <is>
          <t>LIVONIA</t>
        </is>
      </c>
      <c r="Q94" s="6" t="inlineStr">
        <is>
          <t>39000 W SEVEN MILE RD STE 2500, LIVONIA, MI, 48152</t>
        </is>
      </c>
      <c r="R94" s="6" t="inlineStr"/>
      <c r="S94" s="6" t="inlineStr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>
      <c r="A95" s="6" t="inlineStr">
        <is>
          <t>PRIZM PAIN SPECIALISTS, PLLC</t>
        </is>
      </c>
      <c r="B95" s="6" t="inlineStr">
        <is>
          <t>907ab9ea-28db-4bd8-badd-75e1fdac6a2a</t>
        </is>
      </c>
      <c r="C95" s="6" t="inlineStr">
        <is>
          <t>Orthopedic</t>
        </is>
      </c>
      <c r="D95" s="6" t="inlineStr">
        <is>
          <t>Prospect</t>
        </is>
      </c>
      <c r="E95" s="6" t="inlineStr">
        <is>
          <t>Visit / Prospect</t>
        </is>
      </c>
      <c r="F95" s="6" t="n">
        <v>12</v>
      </c>
      <c r="G95" s="6" t="n">
        <v>0</v>
      </c>
      <c r="H95" s="6" t="inlineStr">
        <is>
          <t>0</t>
        </is>
      </c>
      <c r="I95" s="6" t="inlineStr">
        <is>
          <t>0</t>
        </is>
      </c>
      <c r="J95" s="6" t="inlineStr"/>
      <c r="K95" s="6" t="inlineStr">
        <is>
          <t>2026-07-16</t>
        </is>
      </c>
      <c r="L95" s="6" t="inlineStr">
        <is>
          <t>0</t>
        </is>
      </c>
      <c r="M95" s="6" t="n">
        <v/>
      </c>
      <c r="N95" s="6" t="inlineStr">
        <is>
          <t>45</t>
        </is>
      </c>
      <c r="O95" s="6" t="inlineStr">
        <is>
          <t>J-D25</t>
        </is>
      </c>
      <c r="P95" s="6" t="inlineStr">
        <is>
          <t>Livonia</t>
        </is>
      </c>
      <c r="Q95" s="6" t="inlineStr">
        <is>
          <t>39000 West Seven Mile Road STE 2600, Livonia, Michigan, 48152</t>
        </is>
      </c>
      <c r="R95" s="6" t="inlineStr"/>
      <c r="S95" s="6" t="inlineStr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</row>
    <row r="96">
      <c r="A96" s="6" t="inlineStr">
        <is>
          <t>Trinity Health IHA Brain &amp; Spine Surgery - Ann Arbor Campus</t>
        </is>
      </c>
      <c r="B96" s="6" t="inlineStr">
        <is>
          <t>fea6a17c-c68b-43db-acd7-34a4abfe0024</t>
        </is>
      </c>
      <c r="C96" s="6" t="inlineStr">
        <is>
          <t>Orthopedic</t>
        </is>
      </c>
      <c r="D96" s="6" t="inlineStr">
        <is>
          <t>Prospect</t>
        </is>
      </c>
      <c r="E96" s="6" t="inlineStr">
        <is>
          <t>Visit / Prospect</t>
        </is>
      </c>
      <c r="F96" s="6" t="n">
        <v>12</v>
      </c>
      <c r="G96" s="6" t="n">
        <v>0</v>
      </c>
      <c r="H96" s="6" t="inlineStr">
        <is>
          <t>0</t>
        </is>
      </c>
      <c r="I96" s="6" t="inlineStr">
        <is>
          <t>0</t>
        </is>
      </c>
      <c r="J96" s="6" t="inlineStr"/>
      <c r="K96" s="6" t="inlineStr">
        <is>
          <t>2026-07-13</t>
        </is>
      </c>
      <c r="L96" s="6" t="inlineStr">
        <is>
          <t>3</t>
        </is>
      </c>
      <c r="M96" s="6" t="n">
        <v/>
      </c>
      <c r="N96" s="6" t="inlineStr">
        <is>
          <t>45</t>
        </is>
      </c>
      <c r="O96" s="6" t="inlineStr">
        <is>
          <t>J-D26</t>
        </is>
      </c>
      <c r="P96" s="6" t="inlineStr">
        <is>
          <t>Ypsilanti</t>
        </is>
      </c>
      <c r="Q96" s="6" t="inlineStr">
        <is>
          <t>5315 Elliott Dr suite 102, Ypsilanti, Michigan, 48197</t>
        </is>
      </c>
      <c r="R96" s="6" t="inlineStr"/>
      <c r="S96" s="6" t="inlineStr">
        <is>
          <t>Ortho group w/ in-house spine? verify (Jul 20 rule) → Review for removal</t>
        </is>
      </c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>
      <c r="A97" s="6" t="inlineStr">
        <is>
          <t>Trinity IHA Orthopedics - West Arbor</t>
        </is>
      </c>
      <c r="B97" s="6" t="inlineStr">
        <is>
          <t>a93076a3-e5bf-428b-bb72-5671f99b62b5</t>
        </is>
      </c>
      <c r="C97" s="6" t="inlineStr">
        <is>
          <t>Orthopedic</t>
        </is>
      </c>
      <c r="D97" s="6" t="inlineStr">
        <is>
          <t>Prospect</t>
        </is>
      </c>
      <c r="E97" s="6" t="inlineStr">
        <is>
          <t>Visit / Prospect</t>
        </is>
      </c>
      <c r="F97" s="6" t="n">
        <v>12</v>
      </c>
      <c r="G97" s="6" t="n">
        <v>0</v>
      </c>
      <c r="H97" s="6" t="inlineStr">
        <is>
          <t>0</t>
        </is>
      </c>
      <c r="I97" s="6" t="inlineStr">
        <is>
          <t>0</t>
        </is>
      </c>
      <c r="J97" s="6" t="inlineStr"/>
      <c r="K97" s="6" t="inlineStr">
        <is>
          <t>2026-07-06</t>
        </is>
      </c>
      <c r="L97" s="6" t="inlineStr">
        <is>
          <t>10</t>
        </is>
      </c>
      <c r="M97" s="6" t="n">
        <v/>
      </c>
      <c r="N97" s="6" t="inlineStr">
        <is>
          <t>45</t>
        </is>
      </c>
      <c r="O97" s="6" t="inlineStr">
        <is>
          <t>J-D27</t>
        </is>
      </c>
      <c r="P97" s="6" t="inlineStr">
        <is>
          <t>ANN ARBOR</t>
        </is>
      </c>
      <c r="Q97" s="6" t="inlineStr">
        <is>
          <t>4350 JACKSON RD STE 350, ANN ARBOR, MI, 48103</t>
        </is>
      </c>
      <c r="R97" s="6" t="inlineStr"/>
      <c r="S97" s="6" t="inlineStr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</row>
    <row r="98">
      <c r="A98" s="6" t="inlineStr">
        <is>
          <t>ALI M NASSER, MD, PC</t>
        </is>
      </c>
      <c r="B98" s="6" t="inlineStr">
        <is>
          <t>2299270d-731c-4581-b50a-dd6e9b61dfb6</t>
        </is>
      </c>
      <c r="C98" s="6" t="inlineStr">
        <is>
          <t>Orthopedic</t>
        </is>
      </c>
      <c r="D98" s="6" t="inlineStr">
        <is>
          <t>Prospect</t>
        </is>
      </c>
      <c r="E98" s="6" t="inlineStr">
        <is>
          <t>Visit / Prospect</t>
        </is>
      </c>
      <c r="F98" s="6" t="n">
        <v>12</v>
      </c>
      <c r="G98" s="6" t="n">
        <v>0</v>
      </c>
      <c r="H98" s="6" t="inlineStr">
        <is>
          <t>0</t>
        </is>
      </c>
      <c r="I98" s="6" t="inlineStr">
        <is>
          <t>0</t>
        </is>
      </c>
      <c r="J98" s="6" t="inlineStr"/>
      <c r="K98" s="6" t="inlineStr">
        <is>
          <t>2026-07-14</t>
        </is>
      </c>
      <c r="L98" s="6" t="inlineStr">
        <is>
          <t>2</t>
        </is>
      </c>
      <c r="M98" s="6" t="n">
        <v/>
      </c>
      <c r="N98" s="6" t="inlineStr">
        <is>
          <t>45</t>
        </is>
      </c>
      <c r="O98" s="6" t="inlineStr">
        <is>
          <t>J-D29</t>
        </is>
      </c>
      <c r="P98" s="6" t="inlineStr">
        <is>
          <t>Dearborn</t>
        </is>
      </c>
      <c r="Q98" s="6" t="inlineStr">
        <is>
          <t>15120 Michigan Ave, Ste A, Dearborn, Michigan, 48126</t>
        </is>
      </c>
      <c r="R98" s="6" t="inlineStr"/>
      <c r="S98" s="6" t="inlineStr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>
      <c r="A99" s="6" t="inlineStr">
        <is>
          <t>Brackney Chiropractic</t>
        </is>
      </c>
      <c r="B99" s="6" t="inlineStr">
        <is>
          <t>e3b0867d-fccc-4c01-8c75-68fde50cdc16</t>
        </is>
      </c>
      <c r="C99" s="6" t="inlineStr">
        <is>
          <t>Chiropractor</t>
        </is>
      </c>
      <c r="D99" s="6" t="inlineStr">
        <is>
          <t>Prospect</t>
        </is>
      </c>
      <c r="E99" s="6" t="inlineStr">
        <is>
          <t>Visit / Prospect</t>
        </is>
      </c>
      <c r="F99" s="6" t="n">
        <v>11</v>
      </c>
      <c r="G99" s="6" t="n">
        <v>0</v>
      </c>
      <c r="H99" s="6" t="inlineStr">
        <is>
          <t>0</t>
        </is>
      </c>
      <c r="I99" s="6" t="inlineStr">
        <is>
          <t>0</t>
        </is>
      </c>
      <c r="J99" s="6" t="inlineStr"/>
      <c r="K99" s="6" t="inlineStr">
        <is>
          <t>2026-07-02</t>
        </is>
      </c>
      <c r="L99" s="6" t="inlineStr">
        <is>
          <t>14</t>
        </is>
      </c>
      <c r="M99" s="6" t="n">
        <v/>
      </c>
      <c r="N99" s="6" t="inlineStr">
        <is>
          <t>45</t>
        </is>
      </c>
      <c r="O99" s="6" t="inlineStr">
        <is>
          <t>J-D03</t>
        </is>
      </c>
      <c r="P99" s="6" t="inlineStr">
        <is>
          <t>Canton</t>
        </is>
      </c>
      <c r="Q99" s="6" t="inlineStr">
        <is>
          <t>8524 North Canton Center Road, Canton, Michigan, 48187</t>
        </is>
      </c>
      <c r="R99" s="6" t="inlineStr"/>
      <c r="S99" s="6" t="inlineStr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</row>
    <row r="100">
      <c r="A100" s="6" t="inlineStr">
        <is>
          <t>Canton Family Medicine</t>
        </is>
      </c>
      <c r="B100" s="6" t="inlineStr">
        <is>
          <t>27944765-e102-4f5b-9ebc-611bcf5fb06c</t>
        </is>
      </c>
      <c r="C100" s="6" t="inlineStr">
        <is>
          <t>PCP</t>
        </is>
      </c>
      <c r="D100" s="6" t="inlineStr">
        <is>
          <t>Prospect</t>
        </is>
      </c>
      <c r="E100" s="6" t="inlineStr">
        <is>
          <t>Visit / Prospect</t>
        </is>
      </c>
      <c r="F100" s="6" t="n">
        <v>11</v>
      </c>
      <c r="G100" s="6" t="n">
        <v>0</v>
      </c>
      <c r="H100" s="6" t="inlineStr">
        <is>
          <t>0</t>
        </is>
      </c>
      <c r="I100" s="6" t="inlineStr">
        <is>
          <t>0</t>
        </is>
      </c>
      <c r="J100" s="6" t="inlineStr"/>
      <c r="K100" s="6" t="inlineStr">
        <is>
          <t>2026-07-02</t>
        </is>
      </c>
      <c r="L100" s="6" t="inlineStr">
        <is>
          <t>14</t>
        </is>
      </c>
      <c r="M100" s="6" t="n">
        <v/>
      </c>
      <c r="N100" s="6" t="inlineStr">
        <is>
          <t>45</t>
        </is>
      </c>
      <c r="O100" s="6" t="inlineStr">
        <is>
          <t>J-D03</t>
        </is>
      </c>
      <c r="P100" s="6" t="inlineStr">
        <is>
          <t>Canton</t>
        </is>
      </c>
      <c r="Q100" s="6" t="inlineStr">
        <is>
          <t>5958 N  Center Rd Canton, Canton, Michigan, 48187</t>
        </is>
      </c>
      <c r="R100" s="6" t="inlineStr"/>
      <c r="S100" s="6" t="inlineStr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>
      <c r="A101" s="6" t="inlineStr">
        <is>
          <t>CANTON URGENT CARE</t>
        </is>
      </c>
      <c r="B101" s="6" t="inlineStr">
        <is>
          <t>6fa415cb-7af9-461a-b555-69ae0e7a90de</t>
        </is>
      </c>
      <c r="C101" s="6" t="inlineStr">
        <is>
          <t>Orthopedic</t>
        </is>
      </c>
      <c r="D101" s="6" t="inlineStr">
        <is>
          <t>Prospect</t>
        </is>
      </c>
      <c r="E101" s="6" t="inlineStr">
        <is>
          <t>Visit / Prospect</t>
        </is>
      </c>
      <c r="F101" s="6" t="n">
        <v>11</v>
      </c>
      <c r="G101" s="6" t="n">
        <v>0</v>
      </c>
      <c r="H101" s="6" t="inlineStr">
        <is>
          <t>0</t>
        </is>
      </c>
      <c r="I101" s="6" t="inlineStr">
        <is>
          <t>0</t>
        </is>
      </c>
      <c r="J101" s="6" t="inlineStr"/>
      <c r="K101" s="6" t="inlineStr">
        <is>
          <t>2026-07-15</t>
        </is>
      </c>
      <c r="L101" s="6" t="inlineStr">
        <is>
          <t>1</t>
        </is>
      </c>
      <c r="M101" s="6" t="n">
        <v/>
      </c>
      <c r="N101" s="6" t="inlineStr">
        <is>
          <t>45</t>
        </is>
      </c>
      <c r="O101" s="6" t="inlineStr">
        <is>
          <t>J-D03</t>
        </is>
      </c>
      <c r="P101" s="6" t="inlineStr">
        <is>
          <t>Canton</t>
        </is>
      </c>
      <c r="Q101" s="6" t="inlineStr">
        <is>
          <t>43033 Ford Road, Canton, Michigan, 48187</t>
        </is>
      </c>
      <c r="R101" s="6" t="inlineStr"/>
      <c r="S101" s="6" t="inlineStr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</row>
    <row r="102">
      <c r="A102" s="6" t="inlineStr">
        <is>
          <t>Fox Michael DO</t>
        </is>
      </c>
      <c r="B102" s="6" t="inlineStr">
        <is>
          <t>b0006361-799b-4231-8e35-542ac7ccc5c3</t>
        </is>
      </c>
      <c r="C102" s="6" t="inlineStr">
        <is>
          <t>PCP</t>
        </is>
      </c>
      <c r="D102" s="6" t="inlineStr">
        <is>
          <t>Prospect</t>
        </is>
      </c>
      <c r="E102" s="6" t="inlineStr">
        <is>
          <t>Visit / Prospect</t>
        </is>
      </c>
      <c r="F102" s="6" t="n">
        <v>11</v>
      </c>
      <c r="G102" s="6" t="n">
        <v>0</v>
      </c>
      <c r="H102" s="6" t="inlineStr">
        <is>
          <t>0</t>
        </is>
      </c>
      <c r="I102" s="6" t="inlineStr">
        <is>
          <t>0</t>
        </is>
      </c>
      <c r="J102" s="6" t="inlineStr"/>
      <c r="K102" s="6" t="inlineStr">
        <is>
          <t>2026-06-19</t>
        </is>
      </c>
      <c r="L102" s="6" t="inlineStr">
        <is>
          <t>27</t>
        </is>
      </c>
      <c r="M102" s="6" t="n">
        <v/>
      </c>
      <c r="N102" s="6" t="inlineStr">
        <is>
          <t>45</t>
        </is>
      </c>
      <c r="O102" s="6" t="inlineStr">
        <is>
          <t>J-D04</t>
        </is>
      </c>
      <c r="P102" s="6" t="inlineStr">
        <is>
          <t>Livonia</t>
        </is>
      </c>
      <c r="Q102" s="6" t="inlineStr">
        <is>
          <t>27550 Joy Rd, Livonia, Michigan, 48150</t>
        </is>
      </c>
      <c r="R102" s="6" t="inlineStr"/>
      <c r="S102" s="6" t="inlineStr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>
      <c r="A103" s="6" t="inlineStr">
        <is>
          <t>SEEMAB GUL KHAN, MD, PC</t>
        </is>
      </c>
      <c r="B103" s="6" t="inlineStr">
        <is>
          <t>e419b08f-276a-463b-8d2e-29d69176bb65</t>
        </is>
      </c>
      <c r="C103" s="6" t="inlineStr">
        <is>
          <t>Orthopedic</t>
        </is>
      </c>
      <c r="D103" s="6" t="inlineStr">
        <is>
          <t>Prospect</t>
        </is>
      </c>
      <c r="E103" s="6" t="inlineStr">
        <is>
          <t>Visit / Prospect</t>
        </is>
      </c>
      <c r="F103" s="6" t="n">
        <v>11</v>
      </c>
      <c r="G103" s="6" t="n">
        <v>0</v>
      </c>
      <c r="H103" s="6" t="inlineStr">
        <is>
          <t>0</t>
        </is>
      </c>
      <c r="I103" s="6" t="inlineStr">
        <is>
          <t>0</t>
        </is>
      </c>
      <c r="J103" s="6" t="inlineStr"/>
      <c r="K103" s="6" t="inlineStr">
        <is>
          <t>2026-06-26</t>
        </is>
      </c>
      <c r="L103" s="6" t="inlineStr">
        <is>
          <t>20</t>
        </is>
      </c>
      <c r="M103" s="6" t="n">
        <v/>
      </c>
      <c r="N103" s="6" t="inlineStr">
        <is>
          <t>45</t>
        </is>
      </c>
      <c r="O103" s="6" t="inlineStr">
        <is>
          <t>J-D04</t>
        </is>
      </c>
      <c r="P103" s="6" t="inlineStr">
        <is>
          <t>Livonia</t>
        </is>
      </c>
      <c r="Q103" s="6" t="inlineStr">
        <is>
          <t>9555 Middlebelt Road, Livonia, Michigan, 48150</t>
        </is>
      </c>
      <c r="R103" s="6" t="inlineStr"/>
      <c r="S103" s="6" t="inlineStr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</row>
    <row r="104">
      <c r="A104" s="6" t="inlineStr">
        <is>
          <t>The Joint Chiropractic - Livonia</t>
        </is>
      </c>
      <c r="B104" s="6" t="inlineStr">
        <is>
          <t>fbf2356b-694f-4b80-a662-1d1e86c727d7</t>
        </is>
      </c>
      <c r="C104" s="6" t="inlineStr">
        <is>
          <t>Chiropractor</t>
        </is>
      </c>
      <c r="D104" s="6" t="inlineStr">
        <is>
          <t>Prospect</t>
        </is>
      </c>
      <c r="E104" s="6" t="inlineStr">
        <is>
          <t>Visit / Prospect</t>
        </is>
      </c>
      <c r="F104" s="6" t="n">
        <v>11</v>
      </c>
      <c r="G104" s="6" t="n">
        <v>0</v>
      </c>
      <c r="H104" s="6" t="inlineStr">
        <is>
          <t>0</t>
        </is>
      </c>
      <c r="I104" s="6" t="inlineStr">
        <is>
          <t>0</t>
        </is>
      </c>
      <c r="J104" s="6" t="inlineStr"/>
      <c r="K104" s="6" t="inlineStr">
        <is>
          <t>2026-06-19</t>
        </is>
      </c>
      <c r="L104" s="6" t="inlineStr">
        <is>
          <t>27</t>
        </is>
      </c>
      <c r="M104" s="6" t="n">
        <v/>
      </c>
      <c r="N104" s="6" t="inlineStr">
        <is>
          <t>45</t>
        </is>
      </c>
      <c r="O104" s="6" t="inlineStr">
        <is>
          <t>J-D04</t>
        </is>
      </c>
      <c r="P104" s="6" t="inlineStr">
        <is>
          <t>Livonia</t>
        </is>
      </c>
      <c r="Q104" s="6" t="inlineStr">
        <is>
          <t>11027 Middlebelt Rd, Livonia, Michigan, 48150</t>
        </is>
      </c>
      <c r="R104" s="6" t="inlineStr"/>
      <c r="S104" s="6" t="inlineStr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>
      <c r="A105" s="6" t="inlineStr">
        <is>
          <t>Medicare urgent care</t>
        </is>
      </c>
      <c r="B105" s="6" t="inlineStr">
        <is>
          <t>85768def-ff0c-4952-b900-da31e044eedf</t>
        </is>
      </c>
      <c r="C105" s="6" t="inlineStr">
        <is>
          <t>Urgent Care</t>
        </is>
      </c>
      <c r="D105" s="6" t="inlineStr">
        <is>
          <t>Prospect</t>
        </is>
      </c>
      <c r="E105" s="6" t="inlineStr">
        <is>
          <t>Visit / Prospect</t>
        </is>
      </c>
      <c r="F105" s="6" t="n">
        <v>11</v>
      </c>
      <c r="G105" s="6" t="n">
        <v>0</v>
      </c>
      <c r="H105" s="6" t="inlineStr">
        <is>
          <t>0</t>
        </is>
      </c>
      <c r="I105" s="6" t="inlineStr">
        <is>
          <t>0</t>
        </is>
      </c>
      <c r="J105" s="6" t="inlineStr"/>
      <c r="K105" s="6" t="inlineStr">
        <is>
          <t>2026-06-18</t>
        </is>
      </c>
      <c r="L105" s="6" t="inlineStr">
        <is>
          <t>28</t>
        </is>
      </c>
      <c r="M105" s="6" t="n">
        <v/>
      </c>
      <c r="N105" s="6" t="inlineStr">
        <is>
          <t>45</t>
        </is>
      </c>
      <c r="O105" s="6" t="inlineStr">
        <is>
          <t>J-D05</t>
        </is>
      </c>
      <c r="P105" s="6" t="inlineStr">
        <is>
          <t>Eastpointe</t>
        </is>
      </c>
      <c r="Q105" s="6" t="inlineStr">
        <is>
          <t>18621 East 9 Mile Road, Eastpointe, Michigan, 48021</t>
        </is>
      </c>
      <c r="R105" s="6" t="inlineStr"/>
      <c r="S105" s="6" t="inlineStr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</row>
    <row r="106">
      <c r="A106" s="6" t="inlineStr">
        <is>
          <t>APPOLINE MEDICAL CLINIC, PC</t>
        </is>
      </c>
      <c r="B106" s="6" t="inlineStr">
        <is>
          <t>41d58a99-837a-4287-a726-afe3cda684c8</t>
        </is>
      </c>
      <c r="C106" s="6" t="inlineStr">
        <is>
          <t>Orthopedic</t>
        </is>
      </c>
      <c r="D106" s="6" t="inlineStr">
        <is>
          <t>Prospect</t>
        </is>
      </c>
      <c r="E106" s="6" t="inlineStr">
        <is>
          <t>Visit / Prospect</t>
        </is>
      </c>
      <c r="F106" s="6" t="n">
        <v>11</v>
      </c>
      <c r="G106" s="6" t="n">
        <v>0</v>
      </c>
      <c r="H106" s="6" t="inlineStr">
        <is>
          <t>0</t>
        </is>
      </c>
      <c r="I106" s="6" t="inlineStr">
        <is>
          <t>0</t>
        </is>
      </c>
      <c r="J106" s="6" t="inlineStr"/>
      <c r="K106" s="6" t="inlineStr">
        <is>
          <t>2026-07-14</t>
        </is>
      </c>
      <c r="L106" s="6" t="inlineStr">
        <is>
          <t>2</t>
        </is>
      </c>
      <c r="M106" s="6" t="n">
        <v/>
      </c>
      <c r="N106" s="6" t="inlineStr">
        <is>
          <t>45</t>
        </is>
      </c>
      <c r="O106" s="6" t="inlineStr">
        <is>
          <t>J-D06</t>
        </is>
      </c>
      <c r="P106" s="6" t="inlineStr">
        <is>
          <t>Dearborn</t>
        </is>
      </c>
      <c r="Q106" s="6" t="inlineStr">
        <is>
          <t>8740 W Warren Ave, Dearborn, Michigan, 48126</t>
        </is>
      </c>
      <c r="R106" s="6" t="inlineStr"/>
      <c r="S106" s="6" t="inlineStr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>
      <c r="A107" s="6" t="inlineStr">
        <is>
          <t>Dedicated Senior Medical Center East Jefferson</t>
        </is>
      </c>
      <c r="B107" s="6" t="inlineStr">
        <is>
          <t>044c28d6-68de-4f3e-855a-8606d4729ace</t>
        </is>
      </c>
      <c r="C107" s="6" t="inlineStr">
        <is>
          <t>PCP</t>
        </is>
      </c>
      <c r="D107" s="6" t="inlineStr">
        <is>
          <t>Prospect</t>
        </is>
      </c>
      <c r="E107" s="6" t="inlineStr">
        <is>
          <t>Visit / Prospect</t>
        </is>
      </c>
      <c r="F107" s="6" t="n">
        <v>11</v>
      </c>
      <c r="G107" s="6" t="n">
        <v>0</v>
      </c>
      <c r="H107" s="6" t="inlineStr">
        <is>
          <t>0</t>
        </is>
      </c>
      <c r="I107" s="6" t="inlineStr">
        <is>
          <t>0</t>
        </is>
      </c>
      <c r="J107" s="6" t="inlineStr"/>
      <c r="K107" s="6" t="inlineStr">
        <is>
          <t>2026-06-25</t>
        </is>
      </c>
      <c r="L107" s="6" t="inlineStr">
        <is>
          <t>21</t>
        </is>
      </c>
      <c r="M107" s="6" t="n">
        <v/>
      </c>
      <c r="N107" s="6" t="inlineStr">
        <is>
          <t>45</t>
        </is>
      </c>
      <c r="O107" s="6" t="inlineStr">
        <is>
          <t>J-D06</t>
        </is>
      </c>
      <c r="P107" s="6" t="inlineStr">
        <is>
          <t>Detroit</t>
        </is>
      </c>
      <c r="Q107" s="6" t="inlineStr">
        <is>
          <t>13208 East Jefferson Avenue, Detroit, Michigan, 48215</t>
        </is>
      </c>
      <c r="R107" s="6" t="inlineStr"/>
      <c r="S107" s="6" t="inlineStr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</row>
    <row r="108">
      <c r="A108" s="6" t="inlineStr">
        <is>
          <t>Henry Ford Family Medicine/Internal Medicine  - Novi</t>
        </is>
      </c>
      <c r="B108" s="6" t="inlineStr">
        <is>
          <t>15ebb26a-5efc-4ce7-9eb1-60fb9bd5f6c9</t>
        </is>
      </c>
      <c r="C108" s="6" t="inlineStr">
        <is>
          <t>Pain</t>
        </is>
      </c>
      <c r="D108" s="6" t="inlineStr">
        <is>
          <t>Prospect</t>
        </is>
      </c>
      <c r="E108" s="6" t="inlineStr">
        <is>
          <t>Visit / Prospect</t>
        </is>
      </c>
      <c r="F108" s="6" t="n">
        <v>11</v>
      </c>
      <c r="G108" s="6" t="n">
        <v>0</v>
      </c>
      <c r="H108" s="6" t="inlineStr">
        <is>
          <t>0</t>
        </is>
      </c>
      <c r="I108" s="6" t="inlineStr">
        <is>
          <t>0</t>
        </is>
      </c>
      <c r="J108" s="6" t="inlineStr"/>
      <c r="K108" s="6" t="inlineStr">
        <is>
          <t>2026-06-04</t>
        </is>
      </c>
      <c r="L108" s="6" t="inlineStr">
        <is>
          <t>42</t>
        </is>
      </c>
      <c r="M108" s="6" t="n">
        <v/>
      </c>
      <c r="N108" s="6" t="inlineStr">
        <is>
          <t>45</t>
        </is>
      </c>
      <c r="O108" s="6" t="inlineStr">
        <is>
          <t>J-D08</t>
        </is>
      </c>
      <c r="P108" s="6" t="inlineStr">
        <is>
          <t>Novi</t>
        </is>
      </c>
      <c r="Q108" s="6" t="inlineStr">
        <is>
          <t>39450 West 12 Mile Road, Novi, Michigan, 48377</t>
        </is>
      </c>
      <c r="R108" s="6" t="inlineStr"/>
      <c r="S108" s="6" t="inlineStr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>
      <c r="A109" s="6" t="inlineStr">
        <is>
          <t>Henry Ford Pain Clinic - Novi</t>
        </is>
      </c>
      <c r="B109" s="6" t="inlineStr">
        <is>
          <t>fa3d7cf2-0b7a-4b7b-aa60-304995dee0eb</t>
        </is>
      </c>
      <c r="C109" s="6" t="inlineStr">
        <is>
          <t>Pain</t>
        </is>
      </c>
      <c r="D109" s="6" t="inlineStr">
        <is>
          <t>Prospect</t>
        </is>
      </c>
      <c r="E109" s="6" t="inlineStr">
        <is>
          <t>Visit / Prospect</t>
        </is>
      </c>
      <c r="F109" s="6" t="n">
        <v>11</v>
      </c>
      <c r="G109" s="6" t="n">
        <v>0</v>
      </c>
      <c r="H109" s="6" t="inlineStr">
        <is>
          <t>0</t>
        </is>
      </c>
      <c r="I109" s="6" t="inlineStr">
        <is>
          <t>0</t>
        </is>
      </c>
      <c r="J109" s="6" t="inlineStr"/>
      <c r="K109" s="6" t="inlineStr">
        <is>
          <t>2026-06-24</t>
        </is>
      </c>
      <c r="L109" s="6" t="inlineStr">
        <is>
          <t>22</t>
        </is>
      </c>
      <c r="M109" s="6" t="n">
        <v/>
      </c>
      <c r="N109" s="6" t="inlineStr">
        <is>
          <t>45</t>
        </is>
      </c>
      <c r="O109" s="6" t="inlineStr">
        <is>
          <t>J-D08</t>
        </is>
      </c>
      <c r="P109" s="6" t="inlineStr">
        <is>
          <t>Novi</t>
        </is>
      </c>
      <c r="Q109" s="6" t="inlineStr">
        <is>
          <t>39450 W 12 Mile Rd #3c, Novi, Michigan, 48377</t>
        </is>
      </c>
      <c r="R109" s="6" t="inlineStr"/>
      <c r="S109" s="6" t="inlineStr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</row>
    <row r="110">
      <c r="A110" s="6" t="inlineStr">
        <is>
          <t>VillageMD Eastern Michigan</t>
        </is>
      </c>
      <c r="B110" s="6" t="inlineStr">
        <is>
          <t>828fa8f3-3b8b-47be-a90f-66dec7286b3e</t>
        </is>
      </c>
      <c r="C110" s="6" t="inlineStr">
        <is>
          <t>PCP</t>
        </is>
      </c>
      <c r="D110" s="6" t="inlineStr">
        <is>
          <t>Prospect</t>
        </is>
      </c>
      <c r="E110" s="6" t="inlineStr">
        <is>
          <t>Visit / Prospect</t>
        </is>
      </c>
      <c r="F110" s="6" t="n">
        <v>11</v>
      </c>
      <c r="G110" s="6" t="n">
        <v>0</v>
      </c>
      <c r="H110" s="6" t="inlineStr">
        <is>
          <t>0</t>
        </is>
      </c>
      <c r="I110" s="6" t="inlineStr">
        <is>
          <t>0</t>
        </is>
      </c>
      <c r="J110" s="6" t="inlineStr"/>
      <c r="K110" s="6" t="inlineStr">
        <is>
          <t>2026-07-15</t>
        </is>
      </c>
      <c r="L110" s="6" t="inlineStr">
        <is>
          <t>1</t>
        </is>
      </c>
      <c r="M110" s="6" t="n">
        <v/>
      </c>
      <c r="N110" s="6" t="inlineStr">
        <is>
          <t>45</t>
        </is>
      </c>
      <c r="O110" s="6" t="inlineStr">
        <is>
          <t>J-D08</t>
        </is>
      </c>
      <c r="P110" s="6" t="inlineStr">
        <is>
          <t>Novi</t>
        </is>
      </c>
      <c r="Q110" s="6" t="inlineStr">
        <is>
          <t>39475 Lewis Dr ste 110, Novi, Michigan, 48377</t>
        </is>
      </c>
      <c r="R110" s="6" t="inlineStr"/>
      <c r="S110" s="6" t="inlineStr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>
      <c r="A111" s="6" t="inlineStr">
        <is>
          <t>UNIVERSITY OF MICHIGAN LIVONIA HEALTH CENTER</t>
        </is>
      </c>
      <c r="B111" s="6" t="inlineStr">
        <is>
          <t>fcafa62b-aa2e-4816-b546-f6718ff3ece8</t>
        </is>
      </c>
      <c r="C111" s="6" t="inlineStr">
        <is>
          <t>PCP</t>
        </is>
      </c>
      <c r="D111" s="6" t="inlineStr">
        <is>
          <t>Prospect</t>
        </is>
      </c>
      <c r="E111" s="6" t="inlineStr">
        <is>
          <t>Visit / Prospect</t>
        </is>
      </c>
      <c r="F111" s="6" t="n">
        <v>11</v>
      </c>
      <c r="G111" s="6" t="n">
        <v>0</v>
      </c>
      <c r="H111" s="6" t="inlineStr">
        <is>
          <t>0</t>
        </is>
      </c>
      <c r="I111" s="6" t="inlineStr">
        <is>
          <t>0</t>
        </is>
      </c>
      <c r="J111" s="6" t="inlineStr"/>
      <c r="K111" s="6" t="inlineStr">
        <is>
          <t>2026-07-08</t>
        </is>
      </c>
      <c r="L111" s="6" t="inlineStr">
        <is>
          <t>8</t>
        </is>
      </c>
      <c r="M111" s="6" t="n">
        <v/>
      </c>
      <c r="N111" s="6" t="inlineStr">
        <is>
          <t>45</t>
        </is>
      </c>
      <c r="O111" s="6" t="inlineStr">
        <is>
          <t>J-D09</t>
        </is>
      </c>
      <c r="P111" s="6" t="inlineStr">
        <is>
          <t>LIVONIA</t>
        </is>
      </c>
      <c r="Q111" s="6" t="inlineStr">
        <is>
          <t>20321 FARMINGTON RD, LIVONIA, MI, 48152</t>
        </is>
      </c>
      <c r="R111" s="6" t="inlineStr"/>
      <c r="S111" s="6" t="inlineStr">
        <is>
          <t>Medicaid-likely — verify payer</t>
        </is>
      </c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</row>
    <row r="112">
      <c r="A112" s="6" t="inlineStr">
        <is>
          <t>Jowher Khaleel MD, PC</t>
        </is>
      </c>
      <c r="B112" s="6" t="inlineStr">
        <is>
          <t>1174571947</t>
        </is>
      </c>
      <c r="C112" s="6" t="inlineStr">
        <is>
          <t>PCP</t>
        </is>
      </c>
      <c r="D112" s="6" t="inlineStr">
        <is>
          <t>Prospect</t>
        </is>
      </c>
      <c r="E112" s="6" t="inlineStr">
        <is>
          <t>Visit / Prospect</t>
        </is>
      </c>
      <c r="F112" s="6" t="n">
        <v>11</v>
      </c>
      <c r="G112" s="6" t="n">
        <v>0</v>
      </c>
      <c r="H112" s="6" t="inlineStr">
        <is>
          <t>0</t>
        </is>
      </c>
      <c r="I112" s="6" t="inlineStr">
        <is>
          <t>0</t>
        </is>
      </c>
      <c r="J112" s="6" t="inlineStr"/>
      <c r="K112" s="6" t="inlineStr">
        <is>
          <t>2026-06-24</t>
        </is>
      </c>
      <c r="L112" s="6" t="inlineStr">
        <is>
          <t>22</t>
        </is>
      </c>
      <c r="M112" s="6" t="n">
        <v/>
      </c>
      <c r="N112" s="6" t="inlineStr">
        <is>
          <t>45</t>
        </is>
      </c>
      <c r="O112" s="6" t="inlineStr">
        <is>
          <t>J-D09</t>
        </is>
      </c>
      <c r="P112" s="6" t="inlineStr">
        <is>
          <t>Livonia</t>
        </is>
      </c>
      <c r="Q112" s="6" t="inlineStr">
        <is>
          <t>20000 Farmington Hills, Bldg E, Livonia, MI, 48152</t>
        </is>
      </c>
      <c r="R112" s="6" t="inlineStr"/>
      <c r="S112" s="6" t="inlineStr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>
      <c r="A113" s="6" t="inlineStr">
        <is>
          <t>Endeavor chiropractic</t>
        </is>
      </c>
      <c r="B113" s="6" t="inlineStr">
        <is>
          <t>4edcea7a-987c-45d1-917d-cfe33f3c18ad</t>
        </is>
      </c>
      <c r="C113" s="6" t="inlineStr">
        <is>
          <t>Chiropractor</t>
        </is>
      </c>
      <c r="D113" s="6" t="inlineStr">
        <is>
          <t>Prospect</t>
        </is>
      </c>
      <c r="E113" s="6" t="inlineStr">
        <is>
          <t>Visit / Prospect</t>
        </is>
      </c>
      <c r="F113" s="6" t="n">
        <v>11</v>
      </c>
      <c r="G113" s="6" t="n">
        <v>0</v>
      </c>
      <c r="H113" s="6" t="inlineStr">
        <is>
          <t>0</t>
        </is>
      </c>
      <c r="I113" s="6" t="inlineStr">
        <is>
          <t>0</t>
        </is>
      </c>
      <c r="J113" s="6" t="inlineStr"/>
      <c r="K113" s="6" t="inlineStr">
        <is>
          <t>2026-07-08</t>
        </is>
      </c>
      <c r="L113" s="6" t="inlineStr">
        <is>
          <t>8</t>
        </is>
      </c>
      <c r="M113" s="6" t="n">
        <v/>
      </c>
      <c r="N113" s="6" t="inlineStr">
        <is>
          <t>45</t>
        </is>
      </c>
      <c r="O113" s="6" t="inlineStr">
        <is>
          <t>J-D09</t>
        </is>
      </c>
      <c r="P113" s="6" t="inlineStr">
        <is>
          <t>Livonia</t>
        </is>
      </c>
      <c r="Q113" s="6" t="inlineStr">
        <is>
          <t>18320 Farmington Rd, Livonia, Michigan, 48152</t>
        </is>
      </c>
      <c r="R113" s="6" t="inlineStr"/>
      <c r="S113" s="6" t="inlineStr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</row>
    <row r="114">
      <c r="A114" s="6" t="inlineStr">
        <is>
          <t>FARMBROOK INTERVENTIONAL PAIN AND EMG</t>
        </is>
      </c>
      <c r="B114" s="6" t="inlineStr">
        <is>
          <t>82015845-6f21-41fe-8e5a-c6e03da58e06</t>
        </is>
      </c>
      <c r="C114" s="6" t="inlineStr">
        <is>
          <t>Pain</t>
        </is>
      </c>
      <c r="D114" s="6" t="inlineStr">
        <is>
          <t>Prospect</t>
        </is>
      </c>
      <c r="E114" s="6" t="inlineStr">
        <is>
          <t>Visit / Prospect</t>
        </is>
      </c>
      <c r="F114" s="6" t="n">
        <v>11</v>
      </c>
      <c r="G114" s="6" t="n">
        <v>0</v>
      </c>
      <c r="H114" s="6" t="inlineStr">
        <is>
          <t>0</t>
        </is>
      </c>
      <c r="I114" s="6" t="inlineStr">
        <is>
          <t>0</t>
        </is>
      </c>
      <c r="J114" s="6" t="inlineStr"/>
      <c r="K114" s="6" t="inlineStr">
        <is>
          <t>2026-07-01</t>
        </is>
      </c>
      <c r="L114" s="6" t="inlineStr">
        <is>
          <t>15</t>
        </is>
      </c>
      <c r="M114" s="6" t="n">
        <v/>
      </c>
      <c r="N114" s="6" t="inlineStr">
        <is>
          <t>45</t>
        </is>
      </c>
      <c r="O114" s="6" t="inlineStr">
        <is>
          <t>J-D10</t>
        </is>
      </c>
      <c r="P114" s="6" t="inlineStr">
        <is>
          <t>SOUTHFIELD</t>
        </is>
      </c>
      <c r="Q114" s="6" t="inlineStr">
        <is>
          <t>29877 TELEGRAPH RD STE 401, SOUTHFIELD, Michigan, MI 48034</t>
        </is>
      </c>
      <c r="R114" s="6" t="inlineStr"/>
      <c r="S114" s="6" t="inlineStr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>
      <c r="A115" s="6" t="inlineStr">
        <is>
          <t>MICHIGAN ORTHOPEDIC SPECIALISTS - Farmington Hills</t>
        </is>
      </c>
      <c r="B115" s="6" t="inlineStr">
        <is>
          <t>95f12360-e2e8-47e3-8279-f8ff1f3bfd0e</t>
        </is>
      </c>
      <c r="C115" s="6" t="inlineStr">
        <is>
          <t>Orthopedic</t>
        </is>
      </c>
      <c r="D115" s="6" t="inlineStr">
        <is>
          <t>Prospect</t>
        </is>
      </c>
      <c r="E115" s="6" t="inlineStr">
        <is>
          <t>Visit / Prospect</t>
        </is>
      </c>
      <c r="F115" s="6" t="n">
        <v>11</v>
      </c>
      <c r="G115" s="6" t="n">
        <v>0</v>
      </c>
      <c r="H115" s="6" t="inlineStr">
        <is>
          <t>0</t>
        </is>
      </c>
      <c r="I115" s="6" t="inlineStr">
        <is>
          <t>0</t>
        </is>
      </c>
      <c r="J115" s="6" t="inlineStr"/>
      <c r="K115" s="6" t="inlineStr">
        <is>
          <t>2026-07-02</t>
        </is>
      </c>
      <c r="L115" s="6" t="inlineStr">
        <is>
          <t>14</t>
        </is>
      </c>
      <c r="M115" s="6" t="n">
        <v/>
      </c>
      <c r="N115" s="6" t="inlineStr">
        <is>
          <t>45</t>
        </is>
      </c>
      <c r="O115" s="6" t="inlineStr">
        <is>
          <t>J-D10</t>
        </is>
      </c>
      <c r="P115" s="6" t="inlineStr">
        <is>
          <t>FARMINGTON HILLS</t>
        </is>
      </c>
      <c r="Q115" s="6" t="inlineStr">
        <is>
          <t>28080 GRAND RIVER AVE STE 207, FARMINGTON HILLS, MI, 48336</t>
        </is>
      </c>
      <c r="R115" s="6" t="inlineStr"/>
      <c r="S115" s="6" t="inlineStr">
        <is>
          <t>Possible competitor (Jul 20 rule) → Review for removal</t>
        </is>
      </c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</row>
    <row r="116">
      <c r="A116" s="6" t="inlineStr">
        <is>
          <t>THE CORE INSTITUTE NOVI</t>
        </is>
      </c>
      <c r="B116" s="6" t="inlineStr">
        <is>
          <t>73e16173-bee1-429e-93a5-997d3d6df3d9</t>
        </is>
      </c>
      <c r="C116" s="6" t="inlineStr">
        <is>
          <t>Orthopedic</t>
        </is>
      </c>
      <c r="D116" s="6" t="inlineStr">
        <is>
          <t>Prospect</t>
        </is>
      </c>
      <c r="E116" s="6" t="inlineStr">
        <is>
          <t>Visit / Prospect</t>
        </is>
      </c>
      <c r="F116" s="6" t="n">
        <v>11</v>
      </c>
      <c r="G116" s="6" t="n">
        <v>0</v>
      </c>
      <c r="H116" s="6" t="inlineStr">
        <is>
          <t>0</t>
        </is>
      </c>
      <c r="I116" s="6" t="inlineStr">
        <is>
          <t>0</t>
        </is>
      </c>
      <c r="J116" s="6" t="inlineStr"/>
      <c r="K116" s="6" t="inlineStr">
        <is>
          <t>2026-06-22</t>
        </is>
      </c>
      <c r="L116" s="6" t="inlineStr">
        <is>
          <t>24</t>
        </is>
      </c>
      <c r="M116" s="6" t="n">
        <v/>
      </c>
      <c r="N116" s="6" t="inlineStr">
        <is>
          <t>45</t>
        </is>
      </c>
      <c r="O116" s="6" t="inlineStr">
        <is>
          <t>J-D12</t>
        </is>
      </c>
      <c r="P116" s="6" t="inlineStr">
        <is>
          <t>NOVI</t>
        </is>
      </c>
      <c r="Q116" s="6" t="inlineStr">
        <is>
          <t>26750 PROVIDENCE PKWY STE 200, NOVI, MI, 48374</t>
        </is>
      </c>
      <c r="R116" s="6" t="inlineStr"/>
      <c r="S116" s="6" t="inlineStr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>
      <c r="A117" s="6" t="inlineStr">
        <is>
          <t>Dearborn Health Clinic</t>
        </is>
      </c>
      <c r="B117" s="6" t="inlineStr">
        <is>
          <t>e1b0659f-dd0b-44de-bb56-320215093e67</t>
        </is>
      </c>
      <c r="C117" s="6" t="inlineStr">
        <is>
          <t>PCP</t>
        </is>
      </c>
      <c r="D117" s="6" t="inlineStr">
        <is>
          <t>Prospect</t>
        </is>
      </c>
      <c r="E117" s="6" t="inlineStr">
        <is>
          <t>Visit / Prospect</t>
        </is>
      </c>
      <c r="F117" s="6" t="n">
        <v>11</v>
      </c>
      <c r="G117" s="6" t="n">
        <v>0</v>
      </c>
      <c r="H117" s="6" t="inlineStr">
        <is>
          <t>0</t>
        </is>
      </c>
      <c r="I117" s="6" t="inlineStr">
        <is>
          <t>0</t>
        </is>
      </c>
      <c r="J117" s="6" t="inlineStr"/>
      <c r="K117" s="6" t="inlineStr">
        <is>
          <t>2026-07-14</t>
        </is>
      </c>
      <c r="L117" s="6" t="inlineStr">
        <is>
          <t>2</t>
        </is>
      </c>
      <c r="M117" s="6" t="n">
        <v/>
      </c>
      <c r="N117" s="6" t="inlineStr">
        <is>
          <t>45</t>
        </is>
      </c>
      <c r="O117" s="6" t="inlineStr">
        <is>
          <t>J-D13</t>
        </is>
      </c>
      <c r="P117" s="6" t="inlineStr">
        <is>
          <t>Dearborn</t>
        </is>
      </c>
      <c r="Q117" s="6" t="inlineStr">
        <is>
          <t>13840 W Warren Ave, Dearborn, Michigan, 48126</t>
        </is>
      </c>
      <c r="R117" s="6" t="inlineStr"/>
      <c r="S117" s="6" t="inlineStr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</row>
    <row r="118">
      <c r="A118" s="6" t="inlineStr">
        <is>
          <t>Michigan Spine &amp; Brain Surgeons</t>
        </is>
      </c>
      <c r="B118" s="6" t="inlineStr">
        <is>
          <t>c7640a25-ed3b-4097-bda5-cd89202f64a1</t>
        </is>
      </c>
      <c r="C118" s="6" t="inlineStr">
        <is>
          <t>Orthopedic</t>
        </is>
      </c>
      <c r="D118" s="6" t="inlineStr">
        <is>
          <t>Prospect</t>
        </is>
      </c>
      <c r="E118" s="6" t="inlineStr">
        <is>
          <t>Visit / Prospect</t>
        </is>
      </c>
      <c r="F118" s="6" t="n">
        <v>11</v>
      </c>
      <c r="G118" s="6" t="n">
        <v>0</v>
      </c>
      <c r="H118" s="6" t="inlineStr">
        <is>
          <t>0</t>
        </is>
      </c>
      <c r="I118" s="6" t="inlineStr">
        <is>
          <t>0</t>
        </is>
      </c>
      <c r="J118" s="6" t="inlineStr"/>
      <c r="K118" s="6" t="inlineStr">
        <is>
          <t>2026-07-09</t>
        </is>
      </c>
      <c r="L118" s="6" t="inlineStr">
        <is>
          <t>7</t>
        </is>
      </c>
      <c r="M118" s="6" t="n">
        <v/>
      </c>
      <c r="N118" s="6" t="inlineStr">
        <is>
          <t>45</t>
        </is>
      </c>
      <c r="O118" s="6" t="inlineStr">
        <is>
          <t>J-D14</t>
        </is>
      </c>
      <c r="P118" s="6" t="inlineStr">
        <is>
          <t>Southfield</t>
        </is>
      </c>
      <c r="Q118" s="6" t="inlineStr">
        <is>
          <t>22250 Providence Dr suite 601, Southfield, Michigan, 48075</t>
        </is>
      </c>
      <c r="R118" s="6" t="inlineStr"/>
      <c r="S118" s="6" t="inlineStr">
        <is>
          <t>Ortho group w/ in-house spine? verify (Jul 20 rule) → Review for removal</t>
        </is>
      </c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>
      <c r="A119" s="6" t="inlineStr">
        <is>
          <t>Partners in Internal Medicine</t>
        </is>
      </c>
      <c r="B119" s="6" t="inlineStr">
        <is>
          <t>2bc5b4b8-9395-4f0a-bc36-8f7ffd755481</t>
        </is>
      </c>
      <c r="C119" s="6" t="inlineStr">
        <is>
          <t>PCP</t>
        </is>
      </c>
      <c r="D119" s="6" t="inlineStr">
        <is>
          <t>Prospect</t>
        </is>
      </c>
      <c r="E119" s="6" t="inlineStr">
        <is>
          <t>Visit / Prospect</t>
        </is>
      </c>
      <c r="F119" s="6" t="n">
        <v>11</v>
      </c>
      <c r="G119" s="6" t="n">
        <v>0</v>
      </c>
      <c r="H119" s="6" t="inlineStr">
        <is>
          <t>0</t>
        </is>
      </c>
      <c r="I119" s="6" t="inlineStr">
        <is>
          <t>0</t>
        </is>
      </c>
      <c r="J119" s="6" t="inlineStr"/>
      <c r="K119" s="6" t="inlineStr">
        <is>
          <t>2026-07-02</t>
        </is>
      </c>
      <c r="L119" s="6" t="inlineStr">
        <is>
          <t>14</t>
        </is>
      </c>
      <c r="M119" s="6" t="n">
        <v/>
      </c>
      <c r="N119" s="6" t="inlineStr">
        <is>
          <t>45</t>
        </is>
      </c>
      <c r="O119" s="6" t="inlineStr">
        <is>
          <t>J-D15</t>
        </is>
      </c>
      <c r="P119" s="6" t="inlineStr">
        <is>
          <t>Canton</t>
        </is>
      </c>
      <c r="Q119" s="6" t="inlineStr">
        <is>
          <t>255 N Lilley Rd, Canton, Michigan, 48187</t>
        </is>
      </c>
      <c r="R119" s="6" t="inlineStr"/>
      <c r="S119" s="6" t="inlineStr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</row>
    <row r="120">
      <c r="A120" s="6" t="inlineStr">
        <is>
          <t>BEAUMONT URGENT CARE BY WELLSTREET</t>
        </is>
      </c>
      <c r="B120" s="6" t="inlineStr">
        <is>
          <t>b2c0e41e-9b4b-4e68-9a9a-20a7837dbbd6</t>
        </is>
      </c>
      <c r="C120" s="6" t="inlineStr">
        <is>
          <t>Urgent Care</t>
        </is>
      </c>
      <c r="D120" s="6" t="inlineStr">
        <is>
          <t>Prospect</t>
        </is>
      </c>
      <c r="E120" s="6" t="inlineStr">
        <is>
          <t>Visit / Prospect</t>
        </is>
      </c>
      <c r="F120" s="6" t="n">
        <v>11</v>
      </c>
      <c r="G120" s="6" t="n">
        <v>0</v>
      </c>
      <c r="H120" s="6" t="inlineStr">
        <is>
          <t>0</t>
        </is>
      </c>
      <c r="I120" s="6" t="inlineStr">
        <is>
          <t>0</t>
        </is>
      </c>
      <c r="J120" s="6" t="inlineStr"/>
      <c r="K120" s="6" t="inlineStr">
        <is>
          <t>2026-07-13</t>
        </is>
      </c>
      <c r="L120" s="6" t="inlineStr">
        <is>
          <t>3</t>
        </is>
      </c>
      <c r="M120" s="6" t="n">
        <v/>
      </c>
      <c r="N120" s="6" t="inlineStr">
        <is>
          <t>45</t>
        </is>
      </c>
      <c r="O120" s="6" t="inlineStr">
        <is>
          <t>J-D15</t>
        </is>
      </c>
      <c r="P120" s="6" t="inlineStr">
        <is>
          <t>Wayne</t>
        </is>
      </c>
      <c r="Q120" s="6" t="inlineStr">
        <is>
          <t>34435 Michigan Avenue, Wayne, Michigan, 48184</t>
        </is>
      </c>
      <c r="R120" s="6" t="inlineStr"/>
      <c r="S120" s="6" t="inlineStr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>
      <c r="A121" s="6" t="inlineStr">
        <is>
          <t>Wellness Wave Chiropractic</t>
        </is>
      </c>
      <c r="B121" s="6" t="inlineStr">
        <is>
          <t>80bad707-804e-4e08-b1c8-d03f5038b164</t>
        </is>
      </c>
      <c r="C121" s="6" t="inlineStr">
        <is>
          <t>Chiropractor</t>
        </is>
      </c>
      <c r="D121" s="6" t="inlineStr">
        <is>
          <t>Prospect</t>
        </is>
      </c>
      <c r="E121" s="6" t="inlineStr">
        <is>
          <t>Visit / Prospect</t>
        </is>
      </c>
      <c r="F121" s="6" t="n">
        <v>11</v>
      </c>
      <c r="G121" s="6" t="n">
        <v>0</v>
      </c>
      <c r="H121" s="6" t="inlineStr">
        <is>
          <t>0</t>
        </is>
      </c>
      <c r="I121" s="6" t="inlineStr">
        <is>
          <t>0</t>
        </is>
      </c>
      <c r="J121" s="6" t="inlineStr"/>
      <c r="K121" s="6" t="inlineStr">
        <is>
          <t>2026-06-26</t>
        </is>
      </c>
      <c r="L121" s="6" t="inlineStr">
        <is>
          <t>20</t>
        </is>
      </c>
      <c r="M121" s="6" t="n">
        <v/>
      </c>
      <c r="N121" s="6" t="inlineStr">
        <is>
          <t>45</t>
        </is>
      </c>
      <c r="O121" s="6" t="inlineStr">
        <is>
          <t>J-D16</t>
        </is>
      </c>
      <c r="P121" s="6" t="inlineStr">
        <is>
          <t>Livonia</t>
        </is>
      </c>
      <c r="Q121" s="6" t="inlineStr">
        <is>
          <t>15365 Hubbard St, Livonia, Michigan, 48154</t>
        </is>
      </c>
      <c r="R121" s="6" t="inlineStr"/>
      <c r="S121" s="6" t="inlineStr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</row>
    <row r="122">
      <c r="A122" s="6" t="inlineStr">
        <is>
          <t>True Health Chiropractic</t>
        </is>
      </c>
      <c r="B122" s="6" t="inlineStr">
        <is>
          <t>bb1e8257-48ba-4510-ac85-f82c85996bdf</t>
        </is>
      </c>
      <c r="C122" s="6" t="inlineStr">
        <is>
          <t>Chiropractor</t>
        </is>
      </c>
      <c r="D122" s="6" t="inlineStr">
        <is>
          <t>Prospect</t>
        </is>
      </c>
      <c r="E122" s="6" t="inlineStr">
        <is>
          <t>Visit / Prospect</t>
        </is>
      </c>
      <c r="F122" s="6" t="n">
        <v>11</v>
      </c>
      <c r="G122" s="6" t="n">
        <v>0</v>
      </c>
      <c r="H122" s="6" t="inlineStr">
        <is>
          <t>0</t>
        </is>
      </c>
      <c r="I122" s="6" t="inlineStr">
        <is>
          <t>0</t>
        </is>
      </c>
      <c r="J122" s="6" t="inlineStr"/>
      <c r="K122" s="6" t="inlineStr">
        <is>
          <t>2026-06-26</t>
        </is>
      </c>
      <c r="L122" s="6" t="inlineStr">
        <is>
          <t>20</t>
        </is>
      </c>
      <c r="M122" s="6" t="n">
        <v/>
      </c>
      <c r="N122" s="6" t="inlineStr">
        <is>
          <t>45</t>
        </is>
      </c>
      <c r="O122" s="6" t="inlineStr">
        <is>
          <t>J-D16</t>
        </is>
      </c>
      <c r="P122" s="6" t="inlineStr">
        <is>
          <t>Livonia</t>
        </is>
      </c>
      <c r="Q122" s="6" t="inlineStr">
        <is>
          <t>28404 Five Mile Rd, Livonia, Michigan, 48154</t>
        </is>
      </c>
      <c r="R122" s="6" t="inlineStr"/>
      <c r="S122" s="6" t="inlineStr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>
      <c r="A123" s="6" t="inlineStr">
        <is>
          <t>MICHIGAN SPORTS AND SPINE CENTER, PC (not of value)</t>
        </is>
      </c>
      <c r="B123" s="6" t="inlineStr">
        <is>
          <t>02dc2839-7a87-4f51-9ae8-528110ed4a8f</t>
        </is>
      </c>
      <c r="C123" s="6" t="inlineStr">
        <is>
          <t>Orthopedic</t>
        </is>
      </c>
      <c r="D123" s="6" t="inlineStr">
        <is>
          <t>Prospect</t>
        </is>
      </c>
      <c r="E123" s="6" t="inlineStr">
        <is>
          <t>Visit / Prospect</t>
        </is>
      </c>
      <c r="F123" s="6" t="n">
        <v>11</v>
      </c>
      <c r="G123" s="6" t="n">
        <v>0</v>
      </c>
      <c r="H123" s="6" t="inlineStr">
        <is>
          <t>0</t>
        </is>
      </c>
      <c r="I123" s="6" t="inlineStr">
        <is>
          <t>0</t>
        </is>
      </c>
      <c r="J123" s="6" t="inlineStr"/>
      <c r="K123" s="6" t="inlineStr">
        <is>
          <t>2026-06-19</t>
        </is>
      </c>
      <c r="L123" s="6" t="inlineStr">
        <is>
          <t>27</t>
        </is>
      </c>
      <c r="M123" s="6" t="n">
        <v/>
      </c>
      <c r="N123" s="6" t="inlineStr">
        <is>
          <t>45</t>
        </is>
      </c>
      <c r="O123" s="6" t="inlineStr">
        <is>
          <t>J-D16</t>
        </is>
      </c>
      <c r="P123" s="6" t="inlineStr">
        <is>
          <t>Livonia</t>
        </is>
      </c>
      <c r="Q123" s="6" t="inlineStr">
        <is>
          <t>18312 Middlebelt Road, Livonia, Michigan, 48152</t>
        </is>
      </c>
      <c r="R123" s="6" t="inlineStr"/>
      <c r="S123" s="6" t="inlineStr">
        <is>
          <t>Ortho group w/ in-house spine? verify (Jul 20 rule) → Review for removal</t>
        </is>
      </c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</row>
    <row r="124">
      <c r="A124" s="6" t="inlineStr">
        <is>
          <t>Intensive Pulmonary &amp; Internal Medicine</t>
        </is>
      </c>
      <c r="B124" s="6" t="inlineStr">
        <is>
          <t>9eee0ff0-1617-48d1-ab23-cc1eef9a0c5d</t>
        </is>
      </c>
      <c r="C124" s="6" t="inlineStr">
        <is>
          <t>PCP</t>
        </is>
      </c>
      <c r="D124" s="6" t="inlineStr">
        <is>
          <t>Prospect</t>
        </is>
      </c>
      <c r="E124" s="6" t="inlineStr">
        <is>
          <t>Visit / Prospect</t>
        </is>
      </c>
      <c r="F124" s="6" t="n">
        <v>11</v>
      </c>
      <c r="G124" s="6" t="n">
        <v>0</v>
      </c>
      <c r="H124" s="6" t="inlineStr">
        <is>
          <t>0</t>
        </is>
      </c>
      <c r="I124" s="6" t="inlineStr">
        <is>
          <t>0</t>
        </is>
      </c>
      <c r="J124" s="6" t="inlineStr"/>
      <c r="K124" s="6" t="inlineStr">
        <is>
          <t>2026-07-09</t>
        </is>
      </c>
      <c r="L124" s="6" t="inlineStr">
        <is>
          <t>7</t>
        </is>
      </c>
      <c r="M124" s="6" t="n">
        <v/>
      </c>
      <c r="N124" s="6" t="inlineStr">
        <is>
          <t>45</t>
        </is>
      </c>
      <c r="O124" s="6" t="inlineStr">
        <is>
          <t>J-D17</t>
        </is>
      </c>
      <c r="P124" s="6" t="inlineStr">
        <is>
          <t>Livonia</t>
        </is>
      </c>
      <c r="Q124" s="6" t="inlineStr">
        <is>
          <t>14555 Levan Rd suite 404, Livonia, Michigan, 48154</t>
        </is>
      </c>
      <c r="R124" s="6" t="inlineStr"/>
      <c r="S124" s="6" t="inlineStr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>
      <c r="A125" s="6" t="inlineStr">
        <is>
          <t>Trinity Health IHA Academic Internal Medicine</t>
        </is>
      </c>
      <c r="B125" s="6" t="inlineStr">
        <is>
          <t>c4b5edcd-9c75-4b5e-8922-bf8bda2f5543</t>
        </is>
      </c>
      <c r="C125" s="6" t="inlineStr">
        <is>
          <t>PCP</t>
        </is>
      </c>
      <c r="D125" s="6" t="inlineStr">
        <is>
          <t>Prospect</t>
        </is>
      </c>
      <c r="E125" s="6" t="inlineStr">
        <is>
          <t>Visit / Prospect</t>
        </is>
      </c>
      <c r="F125" s="6" t="n">
        <v>11</v>
      </c>
      <c r="G125" s="6" t="n">
        <v>0</v>
      </c>
      <c r="H125" s="6" t="inlineStr">
        <is>
          <t>0</t>
        </is>
      </c>
      <c r="I125" s="6" t="inlineStr">
        <is>
          <t>0</t>
        </is>
      </c>
      <c r="J125" s="6" t="inlineStr"/>
      <c r="K125" s="6" t="inlineStr">
        <is>
          <t>2026-06-19</t>
        </is>
      </c>
      <c r="L125" s="6" t="inlineStr">
        <is>
          <t>27</t>
        </is>
      </c>
      <c r="M125" s="6" t="n">
        <v/>
      </c>
      <c r="N125" s="6" t="inlineStr">
        <is>
          <t>45</t>
        </is>
      </c>
      <c r="O125" s="6" t="inlineStr">
        <is>
          <t>J-D17</t>
        </is>
      </c>
      <c r="P125" s="6" t="inlineStr">
        <is>
          <t>Livonia</t>
        </is>
      </c>
      <c r="Q125" s="6" t="inlineStr">
        <is>
          <t>37595 W Seven Mile Rd, ste 340, Livonia, Michigan, 48152</t>
        </is>
      </c>
      <c r="R125" s="6" t="inlineStr"/>
      <c r="S125" s="6" t="inlineStr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</row>
    <row r="126">
      <c r="A126" s="6" t="inlineStr">
        <is>
          <t>Michigan family wellness</t>
        </is>
      </c>
      <c r="B126" s="6" t="inlineStr">
        <is>
          <t>99d4fe31-7800-4760-b438-523fa51d9e6b</t>
        </is>
      </c>
      <c r="C126" s="6" t="inlineStr">
        <is>
          <t>Pain</t>
        </is>
      </c>
      <c r="D126" s="6" t="inlineStr">
        <is>
          <t>Prospect</t>
        </is>
      </c>
      <c r="E126" s="6" t="inlineStr">
        <is>
          <t>Visit / Prospect</t>
        </is>
      </c>
      <c r="F126" s="6" t="n">
        <v>11</v>
      </c>
      <c r="G126" s="6" t="n">
        <v>0</v>
      </c>
      <c r="H126" s="6" t="inlineStr">
        <is>
          <t>0</t>
        </is>
      </c>
      <c r="I126" s="6" t="inlineStr">
        <is>
          <t>0</t>
        </is>
      </c>
      <c r="J126" s="6" t="inlineStr"/>
      <c r="K126" s="6" t="inlineStr">
        <is>
          <t>2026-07-02</t>
        </is>
      </c>
      <c r="L126" s="6" t="inlineStr">
        <is>
          <t>14</t>
        </is>
      </c>
      <c r="M126" s="6" t="n">
        <v/>
      </c>
      <c r="N126" s="6" t="inlineStr">
        <is>
          <t>45</t>
        </is>
      </c>
      <c r="O126" s="6" t="inlineStr">
        <is>
          <t>J-D18</t>
        </is>
      </c>
      <c r="P126" s="6" t="inlineStr">
        <is>
          <t>CANTON</t>
        </is>
      </c>
      <c r="Q126" s="6" t="inlineStr">
        <is>
          <t>2050 North Haggerty Road, CANTON, Michigan, 48187</t>
        </is>
      </c>
      <c r="R126" s="6" t="inlineStr"/>
      <c r="S126" s="6" t="inlineStr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>
      <c r="A127" s="6" t="inlineStr">
        <is>
          <t>Trinity Health IHA Primary Care - EMU</t>
        </is>
      </c>
      <c r="B127" s="6" t="inlineStr">
        <is>
          <t>10a4e627-2c56-4978-9734-9722090617c0</t>
        </is>
      </c>
      <c r="C127" s="6" t="inlineStr">
        <is>
          <t>PCP</t>
        </is>
      </c>
      <c r="D127" s="6" t="inlineStr">
        <is>
          <t>Prospect</t>
        </is>
      </c>
      <c r="E127" s="6" t="inlineStr">
        <is>
          <t>Visit / Prospect</t>
        </is>
      </c>
      <c r="F127" s="6" t="n">
        <v>11</v>
      </c>
      <c r="G127" s="6" t="n">
        <v>0</v>
      </c>
      <c r="H127" s="6" t="inlineStr">
        <is>
          <t>0</t>
        </is>
      </c>
      <c r="I127" s="6" t="inlineStr">
        <is>
          <t>0</t>
        </is>
      </c>
      <c r="J127" s="6" t="inlineStr"/>
      <c r="K127" s="6" t="inlineStr">
        <is>
          <t>2026-07-13</t>
        </is>
      </c>
      <c r="L127" s="6" t="inlineStr">
        <is>
          <t>3</t>
        </is>
      </c>
      <c r="M127" s="6" t="n">
        <v/>
      </c>
      <c r="N127" s="6" t="inlineStr">
        <is>
          <t>45</t>
        </is>
      </c>
      <c r="O127" s="6" t="inlineStr">
        <is>
          <t>J-D19</t>
        </is>
      </c>
      <c r="P127" s="6" t="inlineStr">
        <is>
          <t>Ypsilanti</t>
        </is>
      </c>
      <c r="Q127" s="6" t="inlineStr">
        <is>
          <t>1065 N Huron River Dr suite 100, Ypsilanti, Michigan, 48197</t>
        </is>
      </c>
      <c r="R127" s="6" t="inlineStr"/>
      <c r="S127" s="6" t="inlineStr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</row>
    <row r="128">
      <c r="A128" s="6" t="inlineStr">
        <is>
          <t>UNIVERSITY OF MICHIGAN YPSILANTI HEALTH CENTER</t>
        </is>
      </c>
      <c r="B128" s="6" t="inlineStr">
        <is>
          <t>2f5507a9-2551-4136-8866-ca58f640c01c</t>
        </is>
      </c>
      <c r="C128" s="6" t="inlineStr">
        <is>
          <t>Orthopedic</t>
        </is>
      </c>
      <c r="D128" s="6" t="inlineStr">
        <is>
          <t>Prospect</t>
        </is>
      </c>
      <c r="E128" s="6" t="inlineStr">
        <is>
          <t>Visit / Prospect</t>
        </is>
      </c>
      <c r="F128" s="6" t="n">
        <v>11</v>
      </c>
      <c r="G128" s="6" t="n">
        <v>0</v>
      </c>
      <c r="H128" s="6" t="inlineStr">
        <is>
          <t>0</t>
        </is>
      </c>
      <c r="I128" s="6" t="inlineStr">
        <is>
          <t>0</t>
        </is>
      </c>
      <c r="J128" s="6" t="inlineStr"/>
      <c r="K128" s="6" t="inlineStr">
        <is>
          <t>2026-07-07</t>
        </is>
      </c>
      <c r="L128" s="6" t="inlineStr">
        <is>
          <t>9</t>
        </is>
      </c>
      <c r="M128" s="6" t="n">
        <v/>
      </c>
      <c r="N128" s="6" t="inlineStr">
        <is>
          <t>45</t>
        </is>
      </c>
      <c r="O128" s="6" t="inlineStr">
        <is>
          <t>J-D19</t>
        </is>
      </c>
      <c r="P128" s="6" t="inlineStr">
        <is>
          <t>Ypsilanti</t>
        </is>
      </c>
      <c r="Q128" s="6" t="inlineStr">
        <is>
          <t>300 West Michigan Avenue, Ypsilanti, Michigan, 48197</t>
        </is>
      </c>
      <c r="R128" s="6" t="inlineStr"/>
      <c r="S128" s="6" t="inlineStr">
        <is>
          <t>Medicaid-likely — verify payer</t>
        </is>
      </c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>
      <c r="A129" s="6" t="inlineStr">
        <is>
          <t>CORNER HEALTH CENTER (Medicaid)</t>
        </is>
      </c>
      <c r="B129" s="6" t="inlineStr">
        <is>
          <t>70aaf20d-66c7-43ae-94f7-aecb6bcc117a</t>
        </is>
      </c>
      <c r="C129" s="6" t="inlineStr">
        <is>
          <t>Orthopedic</t>
        </is>
      </c>
      <c r="D129" s="6" t="inlineStr">
        <is>
          <t>Prospect</t>
        </is>
      </c>
      <c r="E129" s="6" t="inlineStr">
        <is>
          <t>Visit / Prospect</t>
        </is>
      </c>
      <c r="F129" s="6" t="n">
        <v>11</v>
      </c>
      <c r="G129" s="6" t="n">
        <v>0</v>
      </c>
      <c r="H129" s="6" t="inlineStr">
        <is>
          <t>0</t>
        </is>
      </c>
      <c r="I129" s="6" t="inlineStr">
        <is>
          <t>0</t>
        </is>
      </c>
      <c r="J129" s="6" t="inlineStr"/>
      <c r="K129" s="6" t="inlineStr">
        <is>
          <t>2026-06-18</t>
        </is>
      </c>
      <c r="L129" s="6" t="inlineStr">
        <is>
          <t>28</t>
        </is>
      </c>
      <c r="M129" s="6" t="n">
        <v/>
      </c>
      <c r="N129" s="6" t="inlineStr">
        <is>
          <t>45</t>
        </is>
      </c>
      <c r="O129" s="6" t="inlineStr">
        <is>
          <t>J-D19</t>
        </is>
      </c>
      <c r="P129" s="6" t="inlineStr">
        <is>
          <t>YPSILANTI</t>
        </is>
      </c>
      <c r="Q129" s="6" t="inlineStr">
        <is>
          <t>47 N HURON ST, YPSILANTI, Michigan, 48197</t>
        </is>
      </c>
      <c r="R129" s="6" t="inlineStr"/>
      <c r="S129" s="6" t="inlineStr">
        <is>
          <t>Medicaid-likely — verify payer</t>
        </is>
      </c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</row>
    <row r="130">
      <c r="A130" s="6" t="inlineStr">
        <is>
          <t>Medical Associates PC</t>
        </is>
      </c>
      <c r="B130" s="6" t="inlineStr">
        <is>
          <t>ed5b6926-cd2d-40c7-b534-97499a80ee08</t>
        </is>
      </c>
      <c r="C130" s="6" t="inlineStr">
        <is>
          <t>PCP</t>
        </is>
      </c>
      <c r="D130" s="6" t="inlineStr">
        <is>
          <t>Prospect</t>
        </is>
      </c>
      <c r="E130" s="6" t="inlineStr">
        <is>
          <t>Visit / Prospect</t>
        </is>
      </c>
      <c r="F130" s="6" t="n">
        <v>11</v>
      </c>
      <c r="G130" s="6" t="n">
        <v>0</v>
      </c>
      <c r="H130" s="6" t="inlineStr">
        <is>
          <t>0</t>
        </is>
      </c>
      <c r="I130" s="6" t="inlineStr">
        <is>
          <t>0</t>
        </is>
      </c>
      <c r="J130" s="6" t="inlineStr"/>
      <c r="K130" s="6" t="inlineStr">
        <is>
          <t>2026-06-29</t>
        </is>
      </c>
      <c r="L130" s="6" t="inlineStr">
        <is>
          <t>17</t>
        </is>
      </c>
      <c r="M130" s="6" t="n">
        <v/>
      </c>
      <c r="N130" s="6" t="inlineStr">
        <is>
          <t>45</t>
        </is>
      </c>
      <c r="O130" s="6" t="inlineStr">
        <is>
          <t>J-D19</t>
        </is>
      </c>
      <c r="P130" s="6" t="inlineStr">
        <is>
          <t>Ypsilanti</t>
        </is>
      </c>
      <c r="Q130" s="6" t="inlineStr">
        <is>
          <t>428 S Grove St, Ypsilanti, Michigan, 48198</t>
        </is>
      </c>
      <c r="R130" s="6" t="inlineStr"/>
      <c r="S130" s="6" t="inlineStr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>
      <c r="A131" s="6" t="inlineStr">
        <is>
          <t>MDVIP-Novi</t>
        </is>
      </c>
      <c r="B131" s="6" t="inlineStr">
        <is>
          <t>34e9346c-8e77-4c5f-8b5a-25cf46347832</t>
        </is>
      </c>
      <c r="C131" s="6" t="inlineStr">
        <is>
          <t>PCP</t>
        </is>
      </c>
      <c r="D131" s="6" t="inlineStr">
        <is>
          <t>Prospect</t>
        </is>
      </c>
      <c r="E131" s="6" t="inlineStr">
        <is>
          <t>Visit / Prospect</t>
        </is>
      </c>
      <c r="F131" s="6" t="n">
        <v>11</v>
      </c>
      <c r="G131" s="6" t="n">
        <v>0</v>
      </c>
      <c r="H131" s="6" t="inlineStr">
        <is>
          <t>0</t>
        </is>
      </c>
      <c r="I131" s="6" t="inlineStr">
        <is>
          <t>0</t>
        </is>
      </c>
      <c r="J131" s="6" t="inlineStr"/>
      <c r="K131" s="6" t="inlineStr">
        <is>
          <t>2026-06-23</t>
        </is>
      </c>
      <c r="L131" s="6" t="inlineStr">
        <is>
          <t>23</t>
        </is>
      </c>
      <c r="M131" s="6" t="n">
        <v/>
      </c>
      <c r="N131" s="6" t="inlineStr">
        <is>
          <t>45</t>
        </is>
      </c>
      <c r="O131" s="6" t="inlineStr">
        <is>
          <t>J-D20</t>
        </is>
      </c>
      <c r="P131" s="6" t="inlineStr">
        <is>
          <t>Novi</t>
        </is>
      </c>
      <c r="Q131" s="6" t="inlineStr">
        <is>
          <t>26850 Providence Parkway, Novi, Michigan, 48374</t>
        </is>
      </c>
      <c r="R131" s="6" t="inlineStr"/>
      <c r="S131" s="6" t="inlineStr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</row>
    <row r="132">
      <c r="A132" s="6" t="inlineStr">
        <is>
          <t>Park Internal Medicine</t>
        </is>
      </c>
      <c r="B132" s="6" t="inlineStr">
        <is>
          <t>1402505e-8030-4222-ac59-577fa4458cd9</t>
        </is>
      </c>
      <c r="C132" s="6" t="inlineStr">
        <is>
          <t>PCP</t>
        </is>
      </c>
      <c r="D132" s="6" t="inlineStr">
        <is>
          <t>Prospect</t>
        </is>
      </c>
      <c r="E132" s="6" t="inlineStr">
        <is>
          <t>Visit / Prospect</t>
        </is>
      </c>
      <c r="F132" s="6" t="n">
        <v>11</v>
      </c>
      <c r="G132" s="6" t="n">
        <v>0</v>
      </c>
      <c r="H132" s="6" t="inlineStr">
        <is>
          <t>0</t>
        </is>
      </c>
      <c r="I132" s="6" t="inlineStr">
        <is>
          <t>0</t>
        </is>
      </c>
      <c r="J132" s="6" t="inlineStr"/>
      <c r="K132" s="6" t="inlineStr">
        <is>
          <t>2026-06-23</t>
        </is>
      </c>
      <c r="L132" s="6" t="inlineStr">
        <is>
          <t>23</t>
        </is>
      </c>
      <c r="M132" s="6" t="n">
        <v/>
      </c>
      <c r="N132" s="6" t="inlineStr">
        <is>
          <t>45</t>
        </is>
      </c>
      <c r="O132" s="6" t="inlineStr">
        <is>
          <t>J-D20</t>
        </is>
      </c>
      <c r="P132" s="6" t="inlineStr">
        <is>
          <t>Novi</t>
        </is>
      </c>
      <c r="Q132" s="6" t="inlineStr">
        <is>
          <t>26850 Providence Parkway, ste 505, Novi, Michigan, 48374</t>
        </is>
      </c>
      <c r="R132" s="6" t="inlineStr"/>
      <c r="S132" s="6" t="inlineStr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>
      <c r="A133" s="6" t="inlineStr">
        <is>
          <t>IEP Urgent Care- Novi</t>
        </is>
      </c>
      <c r="B133" s="6" t="inlineStr">
        <is>
          <t>4df59a0a-4c28-4cbf-aed9-c47c969dd72a</t>
        </is>
      </c>
      <c r="C133" s="6" t="inlineStr">
        <is>
          <t>Urgent Care</t>
        </is>
      </c>
      <c r="D133" s="6" t="inlineStr">
        <is>
          <t>Prospect</t>
        </is>
      </c>
      <c r="E133" s="6" t="inlineStr">
        <is>
          <t>Visit / Prospect</t>
        </is>
      </c>
      <c r="F133" s="6" t="n">
        <v>11</v>
      </c>
      <c r="G133" s="6" t="n">
        <v>0</v>
      </c>
      <c r="H133" s="6" t="inlineStr">
        <is>
          <t>0</t>
        </is>
      </c>
      <c r="I133" s="6" t="inlineStr">
        <is>
          <t>0</t>
        </is>
      </c>
      <c r="J133" s="6" t="inlineStr"/>
      <c r="K133" s="6" t="inlineStr">
        <is>
          <t>2026-06-24</t>
        </is>
      </c>
      <c r="L133" s="6" t="inlineStr">
        <is>
          <t>22</t>
        </is>
      </c>
      <c r="M133" s="6" t="n">
        <v/>
      </c>
      <c r="N133" s="6" t="inlineStr">
        <is>
          <t>45</t>
        </is>
      </c>
      <c r="O133" s="6" t="inlineStr">
        <is>
          <t>J-D20</t>
        </is>
      </c>
      <c r="P133" s="6" t="inlineStr">
        <is>
          <t>Novi</t>
        </is>
      </c>
      <c r="Q133" s="6" t="inlineStr">
        <is>
          <t>27204 Beck Rd, Novi, Michigan, 48374</t>
        </is>
      </c>
      <c r="R133" s="6" t="inlineStr"/>
      <c r="S133" s="6" t="inlineStr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>
      <c r="A134" s="6" t="inlineStr">
        <is>
          <t>Gem Health and Wellness</t>
        </is>
      </c>
      <c r="B134" s="6" t="inlineStr">
        <is>
          <t>70edb114-54ce-4dbf-bb03-01f785af8326</t>
        </is>
      </c>
      <c r="C134" s="6" t="inlineStr">
        <is>
          <t>PCP</t>
        </is>
      </c>
      <c r="D134" s="6" t="inlineStr">
        <is>
          <t>Prospect</t>
        </is>
      </c>
      <c r="E134" s="6" t="inlineStr">
        <is>
          <t>Visit / Prospect</t>
        </is>
      </c>
      <c r="F134" s="6" t="n">
        <v>11</v>
      </c>
      <c r="G134" s="6" t="n">
        <v>0</v>
      </c>
      <c r="H134" s="6" t="inlineStr">
        <is>
          <t>0</t>
        </is>
      </c>
      <c r="I134" s="6" t="inlineStr">
        <is>
          <t>0</t>
        </is>
      </c>
      <c r="J134" s="6" t="inlineStr"/>
      <c r="K134" s="6" t="inlineStr">
        <is>
          <t>2026-07-15</t>
        </is>
      </c>
      <c r="L134" s="6" t="inlineStr">
        <is>
          <t>1</t>
        </is>
      </c>
      <c r="M134" s="6" t="n">
        <v/>
      </c>
      <c r="N134" s="6" t="inlineStr">
        <is>
          <t>45</t>
        </is>
      </c>
      <c r="O134" s="6" t="inlineStr">
        <is>
          <t>J-D22</t>
        </is>
      </c>
      <c r="P134" s="6" t="inlineStr">
        <is>
          <t>NOVI</t>
        </is>
      </c>
      <c r="Q134" s="6" t="inlineStr">
        <is>
          <t>25500 MEADOWBROOK RD STE 260, NOVI, Michigan, 48375</t>
        </is>
      </c>
      <c r="R134" s="6" t="inlineStr"/>
      <c r="S134" s="6" t="inlineStr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>
      <c r="A135" s="6" t="inlineStr">
        <is>
          <t>Everside Health</t>
        </is>
      </c>
      <c r="B135" s="6" t="inlineStr">
        <is>
          <t>dfb5fa8d-64ab-4384-9965-4374858f546a</t>
        </is>
      </c>
      <c r="C135" s="6" t="inlineStr">
        <is>
          <t>Pain</t>
        </is>
      </c>
      <c r="D135" s="6" t="inlineStr">
        <is>
          <t>Prospect</t>
        </is>
      </c>
      <c r="E135" s="6" t="inlineStr">
        <is>
          <t>Visit / Prospect</t>
        </is>
      </c>
      <c r="F135" s="6" t="n">
        <v>11</v>
      </c>
      <c r="G135" s="6" t="n">
        <v>0</v>
      </c>
      <c r="H135" s="6" t="inlineStr">
        <is>
          <t>0</t>
        </is>
      </c>
      <c r="I135" s="6" t="inlineStr">
        <is>
          <t>0</t>
        </is>
      </c>
      <c r="J135" s="6" t="inlineStr"/>
      <c r="K135" s="6" t="inlineStr">
        <is>
          <t>2026-07-01</t>
        </is>
      </c>
      <c r="L135" s="6" t="inlineStr">
        <is>
          <t>15</t>
        </is>
      </c>
      <c r="M135" s="6" t="n">
        <v/>
      </c>
      <c r="N135" s="6" t="inlineStr">
        <is>
          <t>45</t>
        </is>
      </c>
      <c r="O135" s="6" t="inlineStr">
        <is>
          <t>J-D22</t>
        </is>
      </c>
      <c r="P135" s="6" t="inlineStr">
        <is>
          <t>NOVI</t>
        </is>
      </c>
      <c r="Q135" s="6" t="inlineStr">
        <is>
          <t>39595 W 10 Mile Road, NOVI, Michigan, 48375</t>
        </is>
      </c>
      <c r="R135" s="6" t="inlineStr"/>
      <c r="S135" s="6" t="inlineStr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</row>
    <row r="136">
      <c r="A136" s="6" t="inlineStr">
        <is>
          <t>Southeast Michigan Rehab &amp; Pain</t>
        </is>
      </c>
      <c r="B136" s="6" t="inlineStr">
        <is>
          <t>422a5ef8-6ba7-49ba-a836-1f967d1b414d</t>
        </is>
      </c>
      <c r="C136" s="6" t="inlineStr">
        <is>
          <t>Pain</t>
        </is>
      </c>
      <c r="D136" s="6" t="inlineStr">
        <is>
          <t>Prospect</t>
        </is>
      </c>
      <c r="E136" s="6" t="inlineStr">
        <is>
          <t>Visit / Prospect</t>
        </is>
      </c>
      <c r="F136" s="6" t="n">
        <v>11</v>
      </c>
      <c r="G136" s="6" t="n">
        <v>0</v>
      </c>
      <c r="H136" s="6" t="inlineStr">
        <is>
          <t>0</t>
        </is>
      </c>
      <c r="I136" s="6" t="inlineStr">
        <is>
          <t>0</t>
        </is>
      </c>
      <c r="J136" s="6" t="inlineStr"/>
      <c r="K136" s="6" t="inlineStr">
        <is>
          <t>2026-07-10</t>
        </is>
      </c>
      <c r="L136" s="6" t="inlineStr">
        <is>
          <t>6</t>
        </is>
      </c>
      <c r="M136" s="6" t="n">
        <v/>
      </c>
      <c r="N136" s="6" t="inlineStr">
        <is>
          <t>45</t>
        </is>
      </c>
      <c r="O136" s="6" t="inlineStr">
        <is>
          <t>J-D22</t>
        </is>
      </c>
      <c r="P136" s="6" t="inlineStr">
        <is>
          <t>Novi</t>
        </is>
      </c>
      <c r="Q136" s="6" t="inlineStr">
        <is>
          <t>39595 West 10 Mile Road, ste 103, Novi, Michigan, 48375</t>
        </is>
      </c>
      <c r="R136" s="6" t="inlineStr"/>
      <c r="S136" s="6" t="inlineStr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>
      <c r="A137" s="6" t="inlineStr">
        <is>
          <t>Elite Prime Care</t>
        </is>
      </c>
      <c r="B137" s="6" t="inlineStr">
        <is>
          <t>2699d502-139a-47b8-b5f7-a8ea61dbeeae</t>
        </is>
      </c>
      <c r="C137" s="6" t="inlineStr">
        <is>
          <t>PCP</t>
        </is>
      </c>
      <c r="D137" s="6" t="inlineStr">
        <is>
          <t>Prospect</t>
        </is>
      </c>
      <c r="E137" s="6" t="inlineStr">
        <is>
          <t>Visit / Prospect</t>
        </is>
      </c>
      <c r="F137" s="6" t="n">
        <v>11</v>
      </c>
      <c r="G137" s="6" t="n">
        <v>0</v>
      </c>
      <c r="H137" s="6" t="inlineStr">
        <is>
          <t>0</t>
        </is>
      </c>
      <c r="I137" s="6" t="inlineStr">
        <is>
          <t>0</t>
        </is>
      </c>
      <c r="J137" s="6" t="inlineStr"/>
      <c r="K137" s="6" t="inlineStr">
        <is>
          <t>2026-07-02</t>
        </is>
      </c>
      <c r="L137" s="6" t="inlineStr">
        <is>
          <t>14</t>
        </is>
      </c>
      <c r="M137" s="6" t="n">
        <v/>
      </c>
      <c r="N137" s="6" t="inlineStr">
        <is>
          <t>45</t>
        </is>
      </c>
      <c r="O137" s="6" t="inlineStr">
        <is>
          <t>J-D23</t>
        </is>
      </c>
      <c r="P137" s="6" t="inlineStr">
        <is>
          <t>CANTON</t>
        </is>
      </c>
      <c r="Q137" s="6" t="inlineStr">
        <is>
          <t>8542 N CANTON CENTER RD, CANTON, MI, 48187</t>
        </is>
      </c>
      <c r="R137" s="6" t="inlineStr"/>
      <c r="S137" s="6" t="inlineStr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</row>
    <row r="138">
      <c r="A138" s="6" t="inlineStr">
        <is>
          <t>Michigan Orthopedic Specialists</t>
        </is>
      </c>
      <c r="B138" s="6" t="inlineStr">
        <is>
          <t>8447f063-c332-4bfe-9ab5-13e9ea470cac</t>
        </is>
      </c>
      <c r="C138" s="6" t="inlineStr">
        <is>
          <t>Orthopedic</t>
        </is>
      </c>
      <c r="D138" s="6" t="inlineStr">
        <is>
          <t>Prospect</t>
        </is>
      </c>
      <c r="E138" s="6" t="inlineStr">
        <is>
          <t>Visit / Prospect</t>
        </is>
      </c>
      <c r="F138" s="6" t="n">
        <v>11</v>
      </c>
      <c r="G138" s="6" t="n">
        <v>0</v>
      </c>
      <c r="H138" s="6" t="inlineStr">
        <is>
          <t>0</t>
        </is>
      </c>
      <c r="I138" s="6" t="inlineStr">
        <is>
          <t>0</t>
        </is>
      </c>
      <c r="J138" s="6" t="inlineStr"/>
      <c r="K138" s="6" t="inlineStr">
        <is>
          <t>2026-07-02</t>
        </is>
      </c>
      <c r="L138" s="6" t="inlineStr">
        <is>
          <t>14</t>
        </is>
      </c>
      <c r="M138" s="6" t="n">
        <v/>
      </c>
      <c r="N138" s="6" t="inlineStr">
        <is>
          <t>45</t>
        </is>
      </c>
      <c r="O138" s="6" t="inlineStr">
        <is>
          <t>J-D23</t>
        </is>
      </c>
      <c r="P138" s="6" t="inlineStr">
        <is>
          <t>Canton</t>
        </is>
      </c>
      <c r="Q138" s="6" t="inlineStr">
        <is>
          <t>44633 Joy Rd., Ste 200, Canton, Michigan, 48187</t>
        </is>
      </c>
      <c r="R138" s="6" t="inlineStr"/>
      <c r="S138" s="6" t="inlineStr">
        <is>
          <t>Possible competitor (Jul 20 rule) → Review for removal</t>
        </is>
      </c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>
      <c r="A139" s="6" t="inlineStr">
        <is>
          <t>THE PILOT DOCTORS</t>
        </is>
      </c>
      <c r="B139" s="6" t="inlineStr">
        <is>
          <t>27281655-fa64-496e-9ffa-bbd0472e43d4</t>
        </is>
      </c>
      <c r="C139" s="6" t="inlineStr">
        <is>
          <t>Orthopedic</t>
        </is>
      </c>
      <c r="D139" s="6" t="inlineStr">
        <is>
          <t>Prospect</t>
        </is>
      </c>
      <c r="E139" s="6" t="inlineStr">
        <is>
          <t>Visit / Prospect</t>
        </is>
      </c>
      <c r="F139" s="6" t="n">
        <v>11</v>
      </c>
      <c r="G139" s="6" t="n">
        <v>0</v>
      </c>
      <c r="H139" s="6" t="inlineStr">
        <is>
          <t>0</t>
        </is>
      </c>
      <c r="I139" s="6" t="inlineStr">
        <is>
          <t>0</t>
        </is>
      </c>
      <c r="J139" s="6" t="inlineStr"/>
      <c r="K139" s="6" t="inlineStr">
        <is>
          <t>2026-07-13</t>
        </is>
      </c>
      <c r="L139" s="6" t="inlineStr">
        <is>
          <t>3</t>
        </is>
      </c>
      <c r="M139" s="6" t="n">
        <v/>
      </c>
      <c r="N139" s="6" t="inlineStr">
        <is>
          <t>45</t>
        </is>
      </c>
      <c r="O139" s="6" t="inlineStr">
        <is>
          <t>J-D23</t>
        </is>
      </c>
      <c r="P139" s="6" t="inlineStr">
        <is>
          <t>Plymouth</t>
        </is>
      </c>
      <c r="Q139" s="6" t="inlineStr">
        <is>
          <t>965 South Main Street, Plymouth, Michigan, 48170</t>
        </is>
      </c>
      <c r="R139" s="6" t="inlineStr"/>
      <c r="S139" s="6" t="inlineStr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</row>
    <row r="140">
      <c r="A140" s="6" t="inlineStr">
        <is>
          <t>Northville-Novi Family Medicine</t>
        </is>
      </c>
      <c r="B140" s="6" t="inlineStr">
        <is>
          <t>cbf5b149-d8d1-45d2-bc13-27eac5b85f34</t>
        </is>
      </c>
      <c r="C140" s="6" t="inlineStr">
        <is>
          <t>PCP</t>
        </is>
      </c>
      <c r="D140" s="6" t="inlineStr">
        <is>
          <t>Prospect</t>
        </is>
      </c>
      <c r="E140" s="6" t="inlineStr">
        <is>
          <t>Visit / Prospect</t>
        </is>
      </c>
      <c r="F140" s="6" t="n">
        <v>11</v>
      </c>
      <c r="G140" s="6" t="n">
        <v>0</v>
      </c>
      <c r="H140" s="6" t="inlineStr">
        <is>
          <t>0</t>
        </is>
      </c>
      <c r="I140" s="6" t="inlineStr">
        <is>
          <t>0</t>
        </is>
      </c>
      <c r="J140" s="6" t="inlineStr"/>
      <c r="K140" s="6" t="inlineStr">
        <is>
          <t>2026-06-23</t>
        </is>
      </c>
      <c r="L140" s="6" t="inlineStr">
        <is>
          <t>23</t>
        </is>
      </c>
      <c r="M140" s="6" t="n">
        <v/>
      </c>
      <c r="N140" s="6" t="inlineStr">
        <is>
          <t>45</t>
        </is>
      </c>
      <c r="O140" s="6" t="inlineStr">
        <is>
          <t>J-D25</t>
        </is>
      </c>
      <c r="P140" s="6" t="inlineStr">
        <is>
          <t>Novi</t>
        </is>
      </c>
      <c r="Q140" s="6" t="inlineStr">
        <is>
          <t>21580 Novi Rd, Novi, Michigan, 48375</t>
        </is>
      </c>
      <c r="R140" s="6" t="inlineStr"/>
      <c r="S140" s="6" t="inlineStr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>
      <c r="A141" s="6" t="inlineStr">
        <is>
          <t>IHA urgent care Livonia</t>
        </is>
      </c>
      <c r="B141" s="6" t="inlineStr">
        <is>
          <t>1e6c2264-d7e8-44cc-8bdb-8bbba8e6a32e</t>
        </is>
      </c>
      <c r="C141" s="6" t="inlineStr">
        <is>
          <t>Urgent Care</t>
        </is>
      </c>
      <c r="D141" s="6" t="inlineStr">
        <is>
          <t>Prospect</t>
        </is>
      </c>
      <c r="E141" s="6" t="inlineStr">
        <is>
          <t>Visit / Prospect</t>
        </is>
      </c>
      <c r="F141" s="6" t="n">
        <v>11</v>
      </c>
      <c r="G141" s="6" t="n">
        <v>0</v>
      </c>
      <c r="H141" s="6" t="inlineStr">
        <is>
          <t>0</t>
        </is>
      </c>
      <c r="I141" s="6" t="inlineStr">
        <is>
          <t>0</t>
        </is>
      </c>
      <c r="J141" s="6" t="inlineStr"/>
      <c r="K141" s="6" t="inlineStr">
        <is>
          <t>2026-06-19</t>
        </is>
      </c>
      <c r="L141" s="6" t="inlineStr">
        <is>
          <t>27</t>
        </is>
      </c>
      <c r="M141" s="6" t="n">
        <v/>
      </c>
      <c r="N141" s="6" t="inlineStr">
        <is>
          <t>45</t>
        </is>
      </c>
      <c r="O141" s="6" t="inlineStr">
        <is>
          <t>J-D25</t>
        </is>
      </c>
      <c r="P141" s="6" t="inlineStr">
        <is>
          <t>Livonia</t>
        </is>
      </c>
      <c r="Q141" s="6" t="inlineStr">
        <is>
          <t>19000 Saint Joe's Parkway, Livonia, Michigan, 48152</t>
        </is>
      </c>
      <c r="R141" s="6" t="inlineStr"/>
      <c r="S141" s="6" t="inlineStr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</row>
    <row r="142">
      <c r="A142" s="6" t="inlineStr">
        <is>
          <t>IHA Family Medicine</t>
        </is>
      </c>
      <c r="B142" s="6" t="inlineStr">
        <is>
          <t>cfc1a768-52b4-4363-b4f1-1d54ec8e1b8c</t>
        </is>
      </c>
      <c r="C142" s="6" t="inlineStr">
        <is>
          <t>PCP</t>
        </is>
      </c>
      <c r="D142" s="6" t="inlineStr">
        <is>
          <t>Prospect</t>
        </is>
      </c>
      <c r="E142" s="6" t="inlineStr">
        <is>
          <t>Visit / Prospect</t>
        </is>
      </c>
      <c r="F142" s="6" t="n">
        <v>11</v>
      </c>
      <c r="G142" s="6" t="n">
        <v>0</v>
      </c>
      <c r="H142" s="6" t="inlineStr">
        <is>
          <t>0</t>
        </is>
      </c>
      <c r="I142" s="6" t="inlineStr">
        <is>
          <t>0</t>
        </is>
      </c>
      <c r="J142" s="6" t="inlineStr"/>
      <c r="K142" s="6" t="inlineStr">
        <is>
          <t>2026-07-13</t>
        </is>
      </c>
      <c r="L142" s="6" t="inlineStr">
        <is>
          <t>3</t>
        </is>
      </c>
      <c r="M142" s="6" t="n">
        <v/>
      </c>
      <c r="N142" s="6" t="inlineStr">
        <is>
          <t>45</t>
        </is>
      </c>
      <c r="O142" s="6" t="inlineStr">
        <is>
          <t>J-D26</t>
        </is>
      </c>
      <c r="P142" s="6" t="inlineStr">
        <is>
          <t>Ypsilanti</t>
        </is>
      </c>
      <c r="Q142" s="6" t="inlineStr">
        <is>
          <t>4940 Clark Rd, Ypsilanti, Michigan, 48197</t>
        </is>
      </c>
      <c r="R142" s="6" t="inlineStr"/>
      <c r="S142" s="6" t="inlineStr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>
      <c r="A143" s="6" t="inlineStr">
        <is>
          <t>Trinity Health IHA Medical Group, Primary Care - Ann Arbor</t>
        </is>
      </c>
      <c r="B143" s="6" t="inlineStr">
        <is>
          <t>41bbf717-a150-4c1a-b236-ebab1366b8aa</t>
        </is>
      </c>
      <c r="C143" s="6" t="inlineStr">
        <is>
          <t>PCP</t>
        </is>
      </c>
      <c r="D143" s="6" t="inlineStr">
        <is>
          <t>Prospect</t>
        </is>
      </c>
      <c r="E143" s="6" t="inlineStr">
        <is>
          <t>Visit / Prospect</t>
        </is>
      </c>
      <c r="F143" s="6" t="n">
        <v>11</v>
      </c>
      <c r="G143" s="6" t="n">
        <v>0</v>
      </c>
      <c r="H143" s="6" t="inlineStr">
        <is>
          <t>0</t>
        </is>
      </c>
      <c r="I143" s="6" t="inlineStr">
        <is>
          <t>0</t>
        </is>
      </c>
      <c r="J143" s="6" t="inlineStr"/>
      <c r="K143" s="6" t="inlineStr">
        <is>
          <t>2026-06-30</t>
        </is>
      </c>
      <c r="L143" s="6" t="inlineStr">
        <is>
          <t>16</t>
        </is>
      </c>
      <c r="M143" s="6" t="n">
        <v/>
      </c>
      <c r="N143" s="6" t="inlineStr">
        <is>
          <t>45</t>
        </is>
      </c>
      <c r="O143" s="6" t="inlineStr">
        <is>
          <t>J-D26</t>
        </is>
      </c>
      <c r="P143" s="6" t="inlineStr">
        <is>
          <t>Ypsilanti</t>
        </is>
      </c>
      <c r="Q143" s="6" t="inlineStr">
        <is>
          <t>5361 McAuley Dr, Ypsilanti, Michigan, 48197</t>
        </is>
      </c>
      <c r="R143" s="6" t="inlineStr"/>
      <c r="S143" s="6" t="inlineStr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</row>
    <row r="144">
      <c r="A144" s="6" t="inlineStr">
        <is>
          <t>Trinity IHA Primary Care - West Arbor</t>
        </is>
      </c>
      <c r="B144" s="6" t="inlineStr">
        <is>
          <t>d7578949-87ce-4820-9a40-a34cbfb03fd6</t>
        </is>
      </c>
      <c r="C144" s="6" t="inlineStr">
        <is>
          <t>PCP</t>
        </is>
      </c>
      <c r="D144" s="6" t="inlineStr">
        <is>
          <t>Prospect</t>
        </is>
      </c>
      <c r="E144" s="6" t="inlineStr">
        <is>
          <t>Visit / Prospect</t>
        </is>
      </c>
      <c r="F144" s="6" t="n">
        <v>11</v>
      </c>
      <c r="G144" s="6" t="n">
        <v>0</v>
      </c>
      <c r="H144" s="6" t="inlineStr">
        <is>
          <t>0</t>
        </is>
      </c>
      <c r="I144" s="6" t="inlineStr">
        <is>
          <t>0</t>
        </is>
      </c>
      <c r="J144" s="6" t="inlineStr"/>
      <c r="K144" s="6" t="inlineStr">
        <is>
          <t>2026-07-06</t>
        </is>
      </c>
      <c r="L144" s="6" t="inlineStr">
        <is>
          <t>10</t>
        </is>
      </c>
      <c r="M144" s="6" t="n">
        <v/>
      </c>
      <c r="N144" s="6" t="inlineStr">
        <is>
          <t>45</t>
        </is>
      </c>
      <c r="O144" s="6" t="inlineStr">
        <is>
          <t>J-D27</t>
        </is>
      </c>
      <c r="P144" s="6" t="inlineStr">
        <is>
          <t>Ann Arbor</t>
        </is>
      </c>
      <c r="Q144" s="6" t="inlineStr">
        <is>
          <t>4350 Jackson Rd suite 200, Ann Arbor, Michigan, 48103</t>
        </is>
      </c>
      <c r="R144" s="6" t="inlineStr"/>
      <c r="S144" s="6" t="inlineStr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>
      <c r="A145" s="6" t="inlineStr">
        <is>
          <t>Trinity Health Urgent Care - West Arbor suite 230</t>
        </is>
      </c>
      <c r="B145" s="6" t="inlineStr">
        <is>
          <t>074ec76c-edc3-484d-9c8a-230ffcda445e</t>
        </is>
      </c>
      <c r="C145" s="6" t="inlineStr">
        <is>
          <t>Urgent Care</t>
        </is>
      </c>
      <c r="D145" s="6" t="inlineStr">
        <is>
          <t>Prospect</t>
        </is>
      </c>
      <c r="E145" s="6" t="inlineStr">
        <is>
          <t>Visit / Prospect</t>
        </is>
      </c>
      <c r="F145" s="6" t="n">
        <v>11</v>
      </c>
      <c r="G145" s="6" t="n">
        <v>0</v>
      </c>
      <c r="H145" s="6" t="inlineStr">
        <is>
          <t>0</t>
        </is>
      </c>
      <c r="I145" s="6" t="inlineStr">
        <is>
          <t>0</t>
        </is>
      </c>
      <c r="J145" s="6" t="inlineStr"/>
      <c r="K145" s="6" t="inlineStr">
        <is>
          <t>2026-07-06</t>
        </is>
      </c>
      <c r="L145" s="6" t="inlineStr">
        <is>
          <t>10</t>
        </is>
      </c>
      <c r="M145" s="6" t="n">
        <v/>
      </c>
      <c r="N145" s="6" t="inlineStr">
        <is>
          <t>45</t>
        </is>
      </c>
      <c r="O145" s="6" t="inlineStr">
        <is>
          <t>J-D27</t>
        </is>
      </c>
      <c r="P145" s="6" t="inlineStr">
        <is>
          <t>Ann Arbor</t>
        </is>
      </c>
      <c r="Q145" s="6" t="inlineStr">
        <is>
          <t>4350 Jackson Road, Ann Arbor, Michigan, 48103</t>
        </is>
      </c>
      <c r="R145" s="6" t="inlineStr"/>
      <c r="S145" s="6" t="inlineStr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</row>
    <row r="146">
      <c r="A146" s="6" t="inlineStr">
        <is>
          <t>Oakman, Medical Center</t>
        </is>
      </c>
      <c r="B146" s="6" t="inlineStr">
        <is>
          <t>9ae9d844-759e-42b5-a563-2ad00aab5748</t>
        </is>
      </c>
      <c r="C146" s="6" t="inlineStr">
        <is>
          <t>PCP</t>
        </is>
      </c>
      <c r="D146" s="6" t="inlineStr">
        <is>
          <t>Prospect</t>
        </is>
      </c>
      <c r="E146" s="6" t="inlineStr">
        <is>
          <t>Visit / Prospect</t>
        </is>
      </c>
      <c r="F146" s="6" t="n">
        <v>11</v>
      </c>
      <c r="G146" s="6" t="n">
        <v>0</v>
      </c>
      <c r="H146" s="6" t="inlineStr">
        <is>
          <t>0</t>
        </is>
      </c>
      <c r="I146" s="6" t="inlineStr">
        <is>
          <t>0</t>
        </is>
      </c>
      <c r="J146" s="6" t="inlineStr"/>
      <c r="K146" s="6" t="inlineStr">
        <is>
          <t>2026-07-14</t>
        </is>
      </c>
      <c r="L146" s="6" t="inlineStr">
        <is>
          <t>2</t>
        </is>
      </c>
      <c r="M146" s="6" t="n">
        <v/>
      </c>
      <c r="N146" s="6" t="inlineStr">
        <is>
          <t>45</t>
        </is>
      </c>
      <c r="O146" s="6" t="inlineStr">
        <is>
          <t>J-D29</t>
        </is>
      </c>
      <c r="P146" s="6" t="inlineStr">
        <is>
          <t>Dearborn</t>
        </is>
      </c>
      <c r="Q146" s="6" t="inlineStr">
        <is>
          <t>5280 Oakman Blvd, Dearborn, Michigan, 48126</t>
        </is>
      </c>
      <c r="R146" s="6" t="inlineStr"/>
      <c r="S146" s="6" t="inlineStr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>
      <c r="A147" s="6" t="inlineStr">
        <is>
          <t>Corwell health internal medicine, Dearborn</t>
        </is>
      </c>
      <c r="B147" s="6" t="inlineStr">
        <is>
          <t>1881654705</t>
        </is>
      </c>
      <c r="C147" s="6" t="inlineStr">
        <is>
          <t>PCP</t>
        </is>
      </c>
      <c r="D147" s="6" t="inlineStr">
        <is>
          <t>Prospect</t>
        </is>
      </c>
      <c r="E147" s="6" t="inlineStr">
        <is>
          <t>Visit / Prospect</t>
        </is>
      </c>
      <c r="F147" s="6" t="n">
        <v>11</v>
      </c>
      <c r="G147" s="6" t="n">
        <v>0</v>
      </c>
      <c r="H147" s="6" t="inlineStr">
        <is>
          <t>0</t>
        </is>
      </c>
      <c r="I147" s="6" t="inlineStr">
        <is>
          <t>0</t>
        </is>
      </c>
      <c r="J147" s="6" t="inlineStr"/>
      <c r="K147" s="6" t="inlineStr">
        <is>
          <t>2026-07-14</t>
        </is>
      </c>
      <c r="L147" s="6" t="inlineStr">
        <is>
          <t>2</t>
        </is>
      </c>
      <c r="M147" s="6" t="n">
        <v/>
      </c>
      <c r="N147" s="6" t="inlineStr">
        <is>
          <t>45</t>
        </is>
      </c>
      <c r="O147" s="6" t="inlineStr">
        <is>
          <t>J-D29</t>
        </is>
      </c>
      <c r="P147" s="6" t="inlineStr">
        <is>
          <t>Dearborn</t>
        </is>
      </c>
      <c r="Q147" s="6" t="inlineStr">
        <is>
          <t>4700 Schaefer Rd, Suite 240, Dearborn, MI, 481263698</t>
        </is>
      </c>
      <c r="R147" s="6" t="inlineStr"/>
      <c r="S147" s="6" t="inlineStr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</row>
    <row r="148">
      <c r="A148" s="6" t="inlineStr">
        <is>
          <t>EASTBORN MEDICAL GROUP</t>
        </is>
      </c>
      <c r="B148" s="6" t="inlineStr">
        <is>
          <t>5f0d560a-88ef-4011-aac7-20111cc6a973</t>
        </is>
      </c>
      <c r="C148" s="6" t="inlineStr">
        <is>
          <t>Orthopedic</t>
        </is>
      </c>
      <c r="D148" s="6" t="inlineStr">
        <is>
          <t>Prospect</t>
        </is>
      </c>
      <c r="E148" s="6" t="inlineStr">
        <is>
          <t>Visit / Prospect</t>
        </is>
      </c>
      <c r="F148" s="6" t="n">
        <v>11</v>
      </c>
      <c r="G148" s="6" t="n">
        <v>0</v>
      </c>
      <c r="H148" s="6" t="inlineStr">
        <is>
          <t>0</t>
        </is>
      </c>
      <c r="I148" s="6" t="inlineStr">
        <is>
          <t>0</t>
        </is>
      </c>
      <c r="J148" s="6" t="inlineStr"/>
      <c r="K148" s="6" t="inlineStr">
        <is>
          <t>2026-07-14</t>
        </is>
      </c>
      <c r="L148" s="6" t="inlineStr">
        <is>
          <t>2</t>
        </is>
      </c>
      <c r="M148" s="6" t="n">
        <v/>
      </c>
      <c r="N148" s="6" t="inlineStr">
        <is>
          <t>45</t>
        </is>
      </c>
      <c r="O148" s="6" t="inlineStr">
        <is>
          <t>J-D29</t>
        </is>
      </c>
      <c r="P148" s="6" t="inlineStr">
        <is>
          <t>Dearborn</t>
        </is>
      </c>
      <c r="Q148" s="6" t="inlineStr">
        <is>
          <t>15044 Michigan Ave, Dearborn, Michigan, 48126</t>
        </is>
      </c>
      <c r="R148" s="6" t="inlineStr"/>
      <c r="S148" s="6" t="inlineStr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>
      <c r="A149" s="6" t="inlineStr">
        <is>
          <t>SHEBA MEDICAL CENTER</t>
        </is>
      </c>
      <c r="B149" s="6" t="inlineStr">
        <is>
          <t>f22819d5-efed-4b35-ba21-d6ba06d47271</t>
        </is>
      </c>
      <c r="C149" s="6" t="inlineStr">
        <is>
          <t>Pain</t>
        </is>
      </c>
      <c r="D149" s="6" t="inlineStr">
        <is>
          <t>Prospect</t>
        </is>
      </c>
      <c r="E149" s="6" t="inlineStr">
        <is>
          <t>Visit / Prospect</t>
        </is>
      </c>
      <c r="F149" s="6" t="n">
        <v>11</v>
      </c>
      <c r="G149" s="6" t="n">
        <v>0</v>
      </c>
      <c r="H149" s="6" t="inlineStr">
        <is>
          <t>0</t>
        </is>
      </c>
      <c r="I149" s="6" t="inlineStr">
        <is>
          <t>0</t>
        </is>
      </c>
      <c r="J149" s="6" t="inlineStr"/>
      <c r="K149" s="6" t="inlineStr">
        <is>
          <t>2026-05-20</t>
        </is>
      </c>
      <c r="L149" s="6" t="inlineStr">
        <is>
          <t>57</t>
        </is>
      </c>
      <c r="M149" s="6" t="n">
        <v/>
      </c>
      <c r="N149" s="6" t="inlineStr">
        <is>
          <t>45</t>
        </is>
      </c>
      <c r="O149" s="6" t="inlineStr">
        <is>
          <t>J-D31</t>
        </is>
      </c>
      <c r="P149" s="6" t="inlineStr">
        <is>
          <t>DEARBORN</t>
        </is>
      </c>
      <c r="Q149" s="6" t="inlineStr">
        <is>
          <t>10140 VERNOR HWY, DEARBORN, Michigan, 48120</t>
        </is>
      </c>
      <c r="R149" s="6" t="inlineStr"/>
      <c r="S149" s="6" t="inlineStr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</row>
    <row r="150">
      <c r="A150" s="6" t="inlineStr">
        <is>
          <t>CANTON VA CLINIC</t>
        </is>
      </c>
      <c r="B150" s="6" t="inlineStr">
        <is>
          <t>9e975b04-2072-4b4f-976c-88c13100aa49</t>
        </is>
      </c>
      <c r="C150" s="6" t="inlineStr">
        <is>
          <t>PCP</t>
        </is>
      </c>
      <c r="D150" s="6" t="inlineStr">
        <is>
          <t>Prospect</t>
        </is>
      </c>
      <c r="E150" s="6" t="inlineStr">
        <is>
          <t>Visit / Prospect</t>
        </is>
      </c>
      <c r="F150" s="6" t="n">
        <v>10</v>
      </c>
      <c r="G150" s="6" t="n">
        <v>0</v>
      </c>
      <c r="H150" s="6" t="inlineStr">
        <is>
          <t>0</t>
        </is>
      </c>
      <c r="I150" s="6" t="inlineStr">
        <is>
          <t>0</t>
        </is>
      </c>
      <c r="J150" s="6" t="inlineStr"/>
      <c r="K150" s="6" t="inlineStr">
        <is>
          <t>2026-07-06</t>
        </is>
      </c>
      <c r="L150" s="6" t="inlineStr">
        <is>
          <t>10</t>
        </is>
      </c>
      <c r="M150" s="6" t="n">
        <v/>
      </c>
      <c r="N150" s="6" t="inlineStr">
        <is>
          <t>45</t>
        </is>
      </c>
      <c r="O150" s="6" t="inlineStr">
        <is>
          <t>J-D01</t>
        </is>
      </c>
      <c r="P150" s="6" t="inlineStr">
        <is>
          <t>CANTON</t>
        </is>
      </c>
      <c r="Q150" s="6" t="inlineStr">
        <is>
          <t>5900 N LOTZ RD, CANTON, MI, 48187</t>
        </is>
      </c>
      <c r="R150" s="6" t="inlineStr"/>
      <c r="S150" s="6" t="inlineStr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>
      <c r="A151" s="6" t="inlineStr">
        <is>
          <t>Bluestone PT/OT/ST</t>
        </is>
      </c>
      <c r="B151" s="6" t="inlineStr">
        <is>
          <t>cfb3b21a-c220-44dd-bf1a-5116d55575eb</t>
        </is>
      </c>
      <c r="C151" s="6" t="inlineStr">
        <is>
          <t>PT</t>
        </is>
      </c>
      <c r="D151" s="6" t="inlineStr">
        <is>
          <t>Prospect</t>
        </is>
      </c>
      <c r="E151" s="6" t="inlineStr">
        <is>
          <t>Visit / Prospect</t>
        </is>
      </c>
      <c r="F151" s="6" t="n">
        <v>10</v>
      </c>
      <c r="G151" s="6" t="n">
        <v>0</v>
      </c>
      <c r="H151" s="6" t="inlineStr">
        <is>
          <t>0</t>
        </is>
      </c>
      <c r="I151" s="6" t="inlineStr">
        <is>
          <t>0</t>
        </is>
      </c>
      <c r="J151" s="6" t="inlineStr"/>
      <c r="K151" s="6" t="inlineStr">
        <is>
          <t>2026-06-26</t>
        </is>
      </c>
      <c r="L151" s="6" t="inlineStr">
        <is>
          <t>20</t>
        </is>
      </c>
      <c r="M151" s="6" t="n">
        <v/>
      </c>
      <c r="N151" s="6" t="inlineStr">
        <is>
          <t>45</t>
        </is>
      </c>
      <c r="O151" s="6" t="inlineStr">
        <is>
          <t>J-D01</t>
        </is>
      </c>
      <c r="P151" s="6" t="inlineStr">
        <is>
          <t>Livonia</t>
        </is>
      </c>
      <c r="Q151" s="6" t="inlineStr">
        <is>
          <t>38935 Ann Arbor Road, Livonia, Michigan, 48150</t>
        </is>
      </c>
      <c r="R151" s="6" t="inlineStr"/>
      <c r="S151" s="6" t="inlineStr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</row>
    <row r="152">
      <c r="A152" s="6" t="inlineStr">
        <is>
          <t>Buckle Family Chiropractic Ste 5</t>
        </is>
      </c>
      <c r="B152" s="6" t="inlineStr">
        <is>
          <t>94d80b68-5992-460a-9b6f-4e4f572bced9</t>
        </is>
      </c>
      <c r="C152" s="6" t="inlineStr">
        <is>
          <t>Chiropractor</t>
        </is>
      </c>
      <c r="D152" s="6" t="inlineStr">
        <is>
          <t>Prospect</t>
        </is>
      </c>
      <c r="E152" s="6" t="inlineStr">
        <is>
          <t>Visit / Prospect</t>
        </is>
      </c>
      <c r="F152" s="6" t="n">
        <v>10</v>
      </c>
      <c r="G152" s="6" t="n">
        <v>0</v>
      </c>
      <c r="H152" s="6" t="inlineStr">
        <is>
          <t>0</t>
        </is>
      </c>
      <c r="I152" s="6" t="inlineStr">
        <is>
          <t>0</t>
        </is>
      </c>
      <c r="J152" s="6" t="inlineStr"/>
      <c r="K152" s="6" t="inlineStr">
        <is>
          <t>2026-07-16</t>
        </is>
      </c>
      <c r="L152" s="6" t="inlineStr">
        <is>
          <t>0</t>
        </is>
      </c>
      <c r="M152" s="6" t="n">
        <v/>
      </c>
      <c r="N152" s="6" t="inlineStr">
        <is>
          <t>45</t>
        </is>
      </c>
      <c r="O152" s="6" t="inlineStr">
        <is>
          <t>J-D01</t>
        </is>
      </c>
      <c r="P152" s="6" t="inlineStr">
        <is>
          <t>Livonia</t>
        </is>
      </c>
      <c r="Q152" s="6" t="inlineStr">
        <is>
          <t>38807 Ann Arbor Road, Livonia, Michigan, 48150</t>
        </is>
      </c>
      <c r="R152" s="6" t="inlineStr"/>
      <c r="S152" s="6" t="inlineStr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>
      <c r="A153" s="6" t="inlineStr">
        <is>
          <t>Joshua S Faley</t>
        </is>
      </c>
      <c r="B153" s="6" t="inlineStr">
        <is>
          <t>05-433-9100</t>
        </is>
      </c>
      <c r="C153" s="6" t="inlineStr">
        <is>
          <t>PCP</t>
        </is>
      </c>
      <c r="D153" s="6" t="inlineStr">
        <is>
          <t>Prospect</t>
        </is>
      </c>
      <c r="E153" s="6" t="inlineStr">
        <is>
          <t>Visit / Prospect</t>
        </is>
      </c>
      <c r="F153" s="6" t="n">
        <v>10</v>
      </c>
      <c r="G153" s="6" t="n">
        <v>0</v>
      </c>
      <c r="H153" s="6" t="inlineStr">
        <is>
          <t>0</t>
        </is>
      </c>
      <c r="I153" s="6" t="inlineStr">
        <is>
          <t>0</t>
        </is>
      </c>
      <c r="J153" s="6" t="inlineStr"/>
      <c r="K153" s="6" t="inlineStr">
        <is>
          <t>2026-07-09</t>
        </is>
      </c>
      <c r="L153" s="6" t="inlineStr">
        <is>
          <t>7</t>
        </is>
      </c>
      <c r="M153" s="6" t="n">
        <v/>
      </c>
      <c r="N153" s="6" t="inlineStr">
        <is>
          <t>45</t>
        </is>
      </c>
      <c r="O153" s="6" t="inlineStr">
        <is>
          <t>J-D01</t>
        </is>
      </c>
      <c r="P153" s="6" t="inlineStr">
        <is>
          <t>Livonia</t>
        </is>
      </c>
      <c r="Q153" s="6" t="inlineStr">
        <is>
          <t>14555 Levan Rd Ste 302, Livonia, MI, 48154-5085</t>
        </is>
      </c>
      <c r="R153" s="6" t="inlineStr"/>
      <c r="S153" s="6" t="inlineStr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</row>
    <row r="154">
      <c r="A154" s="6" t="inlineStr">
        <is>
          <t>Sussan J Salas, MD, FAANS</t>
        </is>
      </c>
      <c r="B154" s="6" t="inlineStr">
        <is>
          <t>23d47a49-9145-4b5c-9b11-978fd3b4c007</t>
        </is>
      </c>
      <c r="C154" s="6" t="inlineStr">
        <is>
          <t>PCP</t>
        </is>
      </c>
      <c r="D154" s="6" t="inlineStr">
        <is>
          <t>Prospect</t>
        </is>
      </c>
      <c r="E154" s="6" t="inlineStr">
        <is>
          <t>Visit / Prospect</t>
        </is>
      </c>
      <c r="F154" s="6" t="n">
        <v>10</v>
      </c>
      <c r="G154" s="6" t="n">
        <v>0</v>
      </c>
      <c r="H154" s="6" t="inlineStr">
        <is>
          <t>0</t>
        </is>
      </c>
      <c r="I154" s="6" t="inlineStr">
        <is>
          <t>0</t>
        </is>
      </c>
      <c r="J154" s="6" t="inlineStr"/>
      <c r="K154" s="6" t="inlineStr">
        <is>
          <t>2026-07-09</t>
        </is>
      </c>
      <c r="L154" s="6" t="inlineStr">
        <is>
          <t>7</t>
        </is>
      </c>
      <c r="M154" s="6" t="n">
        <v/>
      </c>
      <c r="N154" s="6" t="inlineStr">
        <is>
          <t>45</t>
        </is>
      </c>
      <c r="O154" s="6" t="inlineStr">
        <is>
          <t>J-D01</t>
        </is>
      </c>
      <c r="P154" s="6" t="inlineStr">
        <is>
          <t>Livonia</t>
        </is>
      </c>
      <c r="Q154" s="6" t="inlineStr">
        <is>
          <t>14555 Levan Road, Ste 312, Livonia, Michigan, 48154</t>
        </is>
      </c>
      <c r="R154" s="6" t="inlineStr"/>
      <c r="S154" s="6" t="inlineStr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>
      <c r="A155" s="6" t="inlineStr">
        <is>
          <t>GARDEN CITY MEDICAL CENTER, PC</t>
        </is>
      </c>
      <c r="B155" s="6" t="inlineStr">
        <is>
          <t>4387f117-9c7b-45c3-9002-4dd29a03b8dc</t>
        </is>
      </c>
      <c r="C155" s="6" t="inlineStr">
        <is>
          <t>PCP</t>
        </is>
      </c>
      <c r="D155" s="6" t="inlineStr">
        <is>
          <t>Prospect</t>
        </is>
      </c>
      <c r="E155" s="6" t="inlineStr">
        <is>
          <t>Visit / Prospect</t>
        </is>
      </c>
      <c r="F155" s="6" t="n">
        <v>10</v>
      </c>
      <c r="G155" s="6" t="n">
        <v>0</v>
      </c>
      <c r="H155" s="6" t="inlineStr">
        <is>
          <t>0</t>
        </is>
      </c>
      <c r="I155" s="6" t="inlineStr">
        <is>
          <t>0</t>
        </is>
      </c>
      <c r="J155" s="6" t="inlineStr"/>
      <c r="K155" s="6" t="inlineStr">
        <is>
          <t>2026-06-15</t>
        </is>
      </c>
      <c r="L155" s="6" t="inlineStr">
        <is>
          <t>31</t>
        </is>
      </c>
      <c r="M155" s="6" t="n">
        <v/>
      </c>
      <c r="N155" s="6" t="inlineStr">
        <is>
          <t>45</t>
        </is>
      </c>
      <c r="O155" s="6" t="inlineStr">
        <is>
          <t>J-D02</t>
        </is>
      </c>
      <c r="P155" s="6" t="inlineStr">
        <is>
          <t>GARDEN CITY</t>
        </is>
      </c>
      <c r="Q155" s="6" t="inlineStr">
        <is>
          <t>2020 MIDDLEBELT RD, GARDEN CITY, MI, 48135</t>
        </is>
      </c>
      <c r="R155" s="6" t="inlineStr"/>
      <c r="S155" s="6" t="inlineStr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</row>
    <row r="156">
      <c r="A156" s="6" t="inlineStr">
        <is>
          <t>Palmer Medical</t>
        </is>
      </c>
      <c r="B156" s="6" t="inlineStr">
        <is>
          <t>5d3d80df-b9e3-4590-bd23-e5c410e71b43</t>
        </is>
      </c>
      <c r="C156" s="6" t="inlineStr">
        <is>
          <t>PCP</t>
        </is>
      </c>
      <c r="D156" s="6" t="inlineStr">
        <is>
          <t>Prospect</t>
        </is>
      </c>
      <c r="E156" s="6" t="inlineStr">
        <is>
          <t>Visit / Prospect</t>
        </is>
      </c>
      <c r="F156" s="6" t="n">
        <v>10</v>
      </c>
      <c r="G156" s="6" t="n">
        <v>0</v>
      </c>
      <c r="H156" s="6" t="inlineStr">
        <is>
          <t>0</t>
        </is>
      </c>
      <c r="I156" s="6" t="inlineStr">
        <is>
          <t>0</t>
        </is>
      </c>
      <c r="J156" s="6" t="inlineStr"/>
      <c r="K156" s="6" t="inlineStr">
        <is>
          <t>2026-07-06</t>
        </is>
      </c>
      <c r="L156" s="6" t="inlineStr">
        <is>
          <t>10</t>
        </is>
      </c>
      <c r="M156" s="6" t="n">
        <v/>
      </c>
      <c r="N156" s="6" t="inlineStr">
        <is>
          <t>45</t>
        </is>
      </c>
      <c r="O156" s="6" t="inlineStr">
        <is>
          <t>J-D02</t>
        </is>
      </c>
      <c r="P156" s="6" t="inlineStr">
        <is>
          <t>Westland</t>
        </is>
      </c>
      <c r="Q156" s="6" t="inlineStr">
        <is>
          <t>34725 Palmer Road, Westland, Michigan, 48186</t>
        </is>
      </c>
      <c r="R156" s="6" t="inlineStr"/>
      <c r="S156" s="6" t="inlineStr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>
      <c r="A157" s="6" t="inlineStr">
        <is>
          <t>Arash Kiarash</t>
        </is>
      </c>
      <c r="B157" s="6" t="inlineStr">
        <is>
          <t>ef0b5dc6-d359-46ed-882e-baedca026685</t>
        </is>
      </c>
      <c r="C157" s="6" t="inlineStr">
        <is>
          <t>PCP</t>
        </is>
      </c>
      <c r="D157" s="6" t="inlineStr">
        <is>
          <t>Prospect</t>
        </is>
      </c>
      <c r="E157" s="6" t="inlineStr">
        <is>
          <t>Visit / Prospect</t>
        </is>
      </c>
      <c r="F157" s="6" t="n">
        <v>10</v>
      </c>
      <c r="G157" s="6" t="n">
        <v>0</v>
      </c>
      <c r="H157" s="6" t="inlineStr">
        <is>
          <t>0</t>
        </is>
      </c>
      <c r="I157" s="6" t="inlineStr">
        <is>
          <t>0</t>
        </is>
      </c>
      <c r="J157" s="6" t="inlineStr"/>
      <c r="K157" s="6" t="inlineStr">
        <is>
          <t>2026-07-06</t>
        </is>
      </c>
      <c r="L157" s="6" t="inlineStr">
        <is>
          <t>10</t>
        </is>
      </c>
      <c r="M157" s="6" t="n">
        <v/>
      </c>
      <c r="N157" s="6" t="inlineStr">
        <is>
          <t>45</t>
        </is>
      </c>
      <c r="O157" s="6" t="inlineStr">
        <is>
          <t>J-D02</t>
        </is>
      </c>
      <c r="P157" s="6" t="inlineStr">
        <is>
          <t>Westland</t>
        </is>
      </c>
      <c r="Q157" s="6" t="inlineStr">
        <is>
          <t>34725 Palmer Road, Westland, Michigan, 48186</t>
        </is>
      </c>
      <c r="R157" s="6" t="inlineStr"/>
      <c r="S157" s="6" t="inlineStr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</row>
    <row r="158">
      <c r="A158" s="6" t="inlineStr">
        <is>
          <t>Integrative Medicine &amp; Hijama Clinic</t>
        </is>
      </c>
      <c r="B158" s="6" t="inlineStr">
        <is>
          <t>536052f1-b0c7-4ac5-8a78-f93ea88a7b8a</t>
        </is>
      </c>
      <c r="C158" s="6" t="inlineStr">
        <is>
          <t>PCP</t>
        </is>
      </c>
      <c r="D158" s="6" t="inlineStr">
        <is>
          <t>Prospect</t>
        </is>
      </c>
      <c r="E158" s="6" t="inlineStr">
        <is>
          <t>Visit / Prospect</t>
        </is>
      </c>
      <c r="F158" s="6" t="n">
        <v>10</v>
      </c>
      <c r="G158" s="6" t="n">
        <v>0</v>
      </c>
      <c r="H158" s="6" t="inlineStr">
        <is>
          <t>0</t>
        </is>
      </c>
      <c r="I158" s="6" t="inlineStr">
        <is>
          <t>0</t>
        </is>
      </c>
      <c r="J158" s="6" t="inlineStr"/>
      <c r="K158" s="6" t="inlineStr">
        <is>
          <t>2026-07-06</t>
        </is>
      </c>
      <c r="L158" s="6" t="inlineStr">
        <is>
          <t>10</t>
        </is>
      </c>
      <c r="M158" s="6" t="n">
        <v/>
      </c>
      <c r="N158" s="6" t="inlineStr">
        <is>
          <t>45</t>
        </is>
      </c>
      <c r="O158" s="6" t="inlineStr">
        <is>
          <t>J-D03</t>
        </is>
      </c>
      <c r="P158" s="6" t="inlineStr">
        <is>
          <t>Canton</t>
        </is>
      </c>
      <c r="Q158" s="6" t="inlineStr">
        <is>
          <t>8528 N Canton Center Rd, Canton, Michigan, 48187</t>
        </is>
      </c>
      <c r="R158" s="6" t="inlineStr"/>
      <c r="S158" s="6" t="inlineStr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>
      <c r="A159" s="6" t="inlineStr">
        <is>
          <t>MDWell</t>
        </is>
      </c>
      <c r="B159" s="6" t="inlineStr">
        <is>
          <t>dd8c9b24-ab9f-484e-af36-a2a96ed1e466</t>
        </is>
      </c>
      <c r="C159" s="6" t="inlineStr">
        <is>
          <t>PCP</t>
        </is>
      </c>
      <c r="D159" s="6" t="inlineStr">
        <is>
          <t>Prospect</t>
        </is>
      </c>
      <c r="E159" s="6" t="inlineStr">
        <is>
          <t>Visit / Prospect</t>
        </is>
      </c>
      <c r="F159" s="6" t="n">
        <v>10</v>
      </c>
      <c r="G159" s="6" t="n">
        <v>0</v>
      </c>
      <c r="H159" s="6" t="inlineStr">
        <is>
          <t>0</t>
        </is>
      </c>
      <c r="I159" s="6" t="inlineStr">
        <is>
          <t>0</t>
        </is>
      </c>
      <c r="J159" s="6" t="inlineStr"/>
      <c r="K159" s="6" t="inlineStr">
        <is>
          <t>2026-06-11</t>
        </is>
      </c>
      <c r="L159" s="6" t="inlineStr">
        <is>
          <t>35</t>
        </is>
      </c>
      <c r="M159" s="6" t="n">
        <v/>
      </c>
      <c r="N159" s="6" t="inlineStr">
        <is>
          <t>45</t>
        </is>
      </c>
      <c r="O159" s="6" t="inlineStr">
        <is>
          <t>J-D03</t>
        </is>
      </c>
      <c r="P159" s="6" t="inlineStr">
        <is>
          <t>Canton</t>
        </is>
      </c>
      <c r="Q159" s="6" t="inlineStr">
        <is>
          <t>5958 N Canton Center Rd suite 200, Canton, Michigan, 48187</t>
        </is>
      </c>
      <c r="R159" s="6" t="inlineStr"/>
      <c r="S159" s="6" t="inlineStr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</row>
    <row r="160">
      <c r="A160" s="6" t="inlineStr">
        <is>
          <t>Michigan family Wellness</t>
        </is>
      </c>
      <c r="B160" s="6" t="inlineStr">
        <is>
          <t>2f2e703f-4fef-4dd1-8718-336cd307b0e6</t>
        </is>
      </c>
      <c r="C160" s="6" t="inlineStr">
        <is>
          <t>Chiropractor</t>
        </is>
      </c>
      <c r="D160" s="6" t="inlineStr">
        <is>
          <t>Prospect</t>
        </is>
      </c>
      <c r="E160" s="6" t="inlineStr">
        <is>
          <t>Visit / Prospect</t>
        </is>
      </c>
      <c r="F160" s="6" t="n">
        <v>10</v>
      </c>
      <c r="G160" s="6" t="n">
        <v>0</v>
      </c>
      <c r="H160" s="6" t="inlineStr">
        <is>
          <t>0</t>
        </is>
      </c>
      <c r="I160" s="6" t="inlineStr">
        <is>
          <t>0</t>
        </is>
      </c>
      <c r="J160" s="6" t="inlineStr"/>
      <c r="K160" s="6" t="inlineStr">
        <is>
          <t>2026-07-06</t>
        </is>
      </c>
      <c r="L160" s="6" t="inlineStr">
        <is>
          <t>10</t>
        </is>
      </c>
      <c r="M160" s="6" t="n">
        <v/>
      </c>
      <c r="N160" s="6" t="inlineStr">
        <is>
          <t>45</t>
        </is>
      </c>
      <c r="O160" s="6" t="inlineStr">
        <is>
          <t>J-D03</t>
        </is>
      </c>
      <c r="P160" s="6" t="inlineStr">
        <is>
          <t>Canton</t>
        </is>
      </c>
      <c r="Q160" s="6" t="inlineStr">
        <is>
          <t>2200 North Canton Center Road, Canton, Michigan, 48187</t>
        </is>
      </c>
      <c r="R160" s="6" t="inlineStr"/>
      <c r="S160" s="6" t="inlineStr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>
      <c r="A161" s="6" t="inlineStr">
        <is>
          <t>ATI</t>
        </is>
      </c>
      <c r="B161" s="6" t="inlineStr">
        <is>
          <t>be40181f-bcb8-4cac-ae76-ab9ba0311605</t>
        </is>
      </c>
      <c r="C161" s="6" t="inlineStr">
        <is>
          <t>PT</t>
        </is>
      </c>
      <c r="D161" s="6" t="inlineStr">
        <is>
          <t>Prospect</t>
        </is>
      </c>
      <c r="E161" s="6" t="inlineStr">
        <is>
          <t>Visit / Prospect</t>
        </is>
      </c>
      <c r="F161" s="6" t="n">
        <v>10</v>
      </c>
      <c r="G161" s="6" t="n">
        <v>0</v>
      </c>
      <c r="H161" s="6" t="inlineStr">
        <is>
          <t>0</t>
        </is>
      </c>
      <c r="I161" s="6" t="inlineStr">
        <is>
          <t>0</t>
        </is>
      </c>
      <c r="J161" s="6" t="inlineStr"/>
      <c r="K161" s="6" t="inlineStr">
        <is>
          <t>2026-07-08</t>
        </is>
      </c>
      <c r="L161" s="6" t="inlineStr">
        <is>
          <t>8</t>
        </is>
      </c>
      <c r="M161" s="6" t="n">
        <v/>
      </c>
      <c r="N161" s="6" t="inlineStr">
        <is>
          <t>45</t>
        </is>
      </c>
      <c r="O161" s="6" t="inlineStr">
        <is>
          <t>J-D04</t>
        </is>
      </c>
      <c r="P161" s="6" t="inlineStr">
        <is>
          <t>Livonia</t>
        </is>
      </c>
      <c r="Q161" s="6" t="inlineStr">
        <is>
          <t>29539 Plymouth Rd, Livonia, Michigan, 48150</t>
        </is>
      </c>
      <c r="R161" s="6" t="inlineStr"/>
      <c r="S161" s="6" t="inlineStr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</row>
    <row r="162">
      <c r="A162" s="6" t="inlineStr">
        <is>
          <t>1st choice Urgent Care Livonia</t>
        </is>
      </c>
      <c r="B162" s="6" t="inlineStr">
        <is>
          <t>4234d0ba-61b7-4931-8788-6156494bcc59</t>
        </is>
      </c>
      <c r="C162" s="6" t="inlineStr">
        <is>
          <t>Urgent Care</t>
        </is>
      </c>
      <c r="D162" s="6" t="inlineStr">
        <is>
          <t>Prospect</t>
        </is>
      </c>
      <c r="E162" s="6" t="inlineStr">
        <is>
          <t>Visit / Prospect</t>
        </is>
      </c>
      <c r="F162" s="6" t="n">
        <v>10</v>
      </c>
      <c r="G162" s="6" t="n">
        <v>0</v>
      </c>
      <c r="H162" s="6" t="inlineStr">
        <is>
          <t>0</t>
        </is>
      </c>
      <c r="I162" s="6" t="inlineStr">
        <is>
          <t>0</t>
        </is>
      </c>
      <c r="J162" s="6" t="inlineStr"/>
      <c r="K162" s="6" t="inlineStr">
        <is>
          <t>2026-06-09</t>
        </is>
      </c>
      <c r="L162" s="6" t="inlineStr">
        <is>
          <t>37</t>
        </is>
      </c>
      <c r="M162" s="6" t="n">
        <v/>
      </c>
      <c r="N162" s="6" t="inlineStr">
        <is>
          <t>45</t>
        </is>
      </c>
      <c r="O162" s="6" t="inlineStr">
        <is>
          <t>J-D04</t>
        </is>
      </c>
      <c r="P162" s="6" t="inlineStr">
        <is>
          <t>Livonia</t>
        </is>
      </c>
      <c r="Q162" s="6" t="inlineStr">
        <is>
          <t>11502 Middlebelt Road, Livonia, Michigan, 48150</t>
        </is>
      </c>
      <c r="R162" s="6" t="inlineStr"/>
      <c r="S162" s="6" t="inlineStr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>
      <c r="A163" s="6" t="inlineStr">
        <is>
          <t>*NOVAMEDICA, PLLC</t>
        </is>
      </c>
      <c r="B163" s="6" t="inlineStr">
        <is>
          <t>d2a011ae-fad5-4195-a59b-93376dd15321</t>
        </is>
      </c>
      <c r="C163" s="6" t="inlineStr">
        <is>
          <t>PCP</t>
        </is>
      </c>
      <c r="D163" s="6" t="inlineStr">
        <is>
          <t>Prospect</t>
        </is>
      </c>
      <c r="E163" s="6" t="inlineStr">
        <is>
          <t>Visit / Prospect</t>
        </is>
      </c>
      <c r="F163" s="6" t="n">
        <v>10</v>
      </c>
      <c r="G163" s="6" t="n">
        <v>0</v>
      </c>
      <c r="H163" s="6" t="inlineStr">
        <is>
          <t>0</t>
        </is>
      </c>
      <c r="I163" s="6" t="inlineStr">
        <is>
          <t>0</t>
        </is>
      </c>
      <c r="J163" s="6" t="inlineStr"/>
      <c r="K163" s="6" t="inlineStr">
        <is>
          <t>2026-06-12</t>
        </is>
      </c>
      <c r="L163" s="6" t="inlineStr">
        <is>
          <t>34</t>
        </is>
      </c>
      <c r="M163" s="6" t="n">
        <v/>
      </c>
      <c r="N163" s="6" t="inlineStr">
        <is>
          <t>45</t>
        </is>
      </c>
      <c r="O163" s="6" t="inlineStr">
        <is>
          <t>J-D09</t>
        </is>
      </c>
      <c r="P163" s="6" t="inlineStr">
        <is>
          <t>LIVONIA</t>
        </is>
      </c>
      <c r="Q163" s="6" t="inlineStr">
        <is>
          <t>20331 FARMINGTON RD STE 103, LIVONIA, MI, 48152</t>
        </is>
      </c>
      <c r="R163" s="6" t="inlineStr"/>
      <c r="S163" s="6" t="inlineStr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</row>
    <row r="164">
      <c r="A164" s="6" t="inlineStr">
        <is>
          <t>BEAUMONT MIDWEST INTERNAL MEDICINE ASSOCIATES LIVONIA</t>
        </is>
      </c>
      <c r="B164" s="6" t="inlineStr">
        <is>
          <t>dc4592d0-3b9d-4583-a228-a93413a343a7</t>
        </is>
      </c>
      <c r="C164" s="6" t="inlineStr">
        <is>
          <t>PCP</t>
        </is>
      </c>
      <c r="D164" s="6" t="inlineStr">
        <is>
          <t>Prospect</t>
        </is>
      </c>
      <c r="E164" s="6" t="inlineStr">
        <is>
          <t>Visit / Prospect</t>
        </is>
      </c>
      <c r="F164" s="6" t="n">
        <v>10</v>
      </c>
      <c r="G164" s="6" t="n">
        <v>0</v>
      </c>
      <c r="H164" s="6" t="inlineStr">
        <is>
          <t>0</t>
        </is>
      </c>
      <c r="I164" s="6" t="inlineStr">
        <is>
          <t>0</t>
        </is>
      </c>
      <c r="J164" s="6" t="inlineStr"/>
      <c r="K164" s="6" t="inlineStr">
        <is>
          <t>2026-06-12</t>
        </is>
      </c>
      <c r="L164" s="6" t="inlineStr">
        <is>
          <t>34</t>
        </is>
      </c>
      <c r="M164" s="6" t="n">
        <v/>
      </c>
      <c r="N164" s="6" t="inlineStr">
        <is>
          <t>45</t>
        </is>
      </c>
      <c r="O164" s="6" t="inlineStr">
        <is>
          <t>J-D09</t>
        </is>
      </c>
      <c r="P164" s="6" t="inlineStr">
        <is>
          <t>LIVONIA</t>
        </is>
      </c>
      <c r="Q164" s="6" t="inlineStr">
        <is>
          <t>20317 FARMINGTON RD, LIVONIA, MI, 48152</t>
        </is>
      </c>
      <c r="R164" s="6" t="inlineStr"/>
      <c r="S164" s="6" t="inlineStr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>
      <c r="A165" s="6" t="inlineStr">
        <is>
          <t>M.N. Petrous MD</t>
        </is>
      </c>
      <c r="B165" s="6" t="inlineStr">
        <is>
          <t>1993900c-8862-4865-ad73-1f71b7468186</t>
        </is>
      </c>
      <c r="C165" s="6" t="inlineStr">
        <is>
          <t>PCP</t>
        </is>
      </c>
      <c r="D165" s="6" t="inlineStr">
        <is>
          <t>Prospect</t>
        </is>
      </c>
      <c r="E165" s="6" t="inlineStr">
        <is>
          <t>Visit / Prospect</t>
        </is>
      </c>
      <c r="F165" s="6" t="n">
        <v>10</v>
      </c>
      <c r="G165" s="6" t="n">
        <v>0</v>
      </c>
      <c r="H165" s="6" t="inlineStr">
        <is>
          <t>0</t>
        </is>
      </c>
      <c r="I165" s="6" t="inlineStr">
        <is>
          <t>0</t>
        </is>
      </c>
      <c r="J165" s="6" t="inlineStr"/>
      <c r="K165" s="6" t="inlineStr">
        <is>
          <t>2026-07-08</t>
        </is>
      </c>
      <c r="L165" s="6" t="inlineStr">
        <is>
          <t>8</t>
        </is>
      </c>
      <c r="M165" s="6" t="n">
        <v/>
      </c>
      <c r="N165" s="6" t="inlineStr">
        <is>
          <t>45</t>
        </is>
      </c>
      <c r="O165" s="6" t="inlineStr">
        <is>
          <t>J-D09</t>
        </is>
      </c>
      <c r="P165" s="6" t="inlineStr">
        <is>
          <t>LIVONIA</t>
        </is>
      </c>
      <c r="Q165" s="6" t="inlineStr">
        <is>
          <t>20224 FARMINGTON RD, LIVONIA, MI, 48152</t>
        </is>
      </c>
      <c r="R165" s="6" t="inlineStr"/>
      <c r="S165" s="6" t="inlineStr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</row>
    <row r="166">
      <c r="A166" s="6" t="inlineStr">
        <is>
          <t>Glazer Spine Center- use</t>
        </is>
      </c>
      <c r="B166" s="6" t="inlineStr">
        <is>
          <t>db36e827-679d-4248-8834-41450c4256cf</t>
        </is>
      </c>
      <c r="C166" s="6" t="inlineStr">
        <is>
          <t>Chiropractor</t>
        </is>
      </c>
      <c r="D166" s="6" t="inlineStr">
        <is>
          <t>Prospect</t>
        </is>
      </c>
      <c r="E166" s="6" t="inlineStr">
        <is>
          <t>Visit / Prospect</t>
        </is>
      </c>
      <c r="F166" s="6" t="n">
        <v>10</v>
      </c>
      <c r="G166" s="6" t="n">
        <v>0</v>
      </c>
      <c r="H166" s="6" t="inlineStr">
        <is>
          <t>0</t>
        </is>
      </c>
      <c r="I166" s="6" t="inlineStr">
        <is>
          <t>0</t>
        </is>
      </c>
      <c r="J166" s="6" t="inlineStr"/>
      <c r="K166" s="6" t="inlineStr">
        <is>
          <t>2026-07-09</t>
        </is>
      </c>
      <c r="L166" s="6" t="inlineStr">
        <is>
          <t>7</t>
        </is>
      </c>
      <c r="M166" s="6" t="n">
        <v/>
      </c>
      <c r="N166" s="6" t="inlineStr">
        <is>
          <t>45</t>
        </is>
      </c>
      <c r="O166" s="6" t="inlineStr">
        <is>
          <t>J-D10</t>
        </is>
      </c>
      <c r="P166" s="6" t="inlineStr">
        <is>
          <t>Southfield</t>
        </is>
      </c>
      <c r="Q166" s="6" t="inlineStr">
        <is>
          <t>24725 W 12 Mile Rd Ste. 260, Southfield, Michigan, 480341801</t>
        </is>
      </c>
      <c r="R166" s="6" t="inlineStr"/>
      <c r="S166" s="6" t="inlineStr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>
      <c r="A167" s="6" t="inlineStr">
        <is>
          <t>Leonard Sahn MD</t>
        </is>
      </c>
      <c r="B167" s="6" t="inlineStr">
        <is>
          <t>a967f0db-d552-4e1c-9e98-b867443cb6eb</t>
        </is>
      </c>
      <c r="C167" s="6" t="inlineStr">
        <is>
          <t>PCP</t>
        </is>
      </c>
      <c r="D167" s="6" t="inlineStr">
        <is>
          <t>Prospect</t>
        </is>
      </c>
      <c r="E167" s="6" t="inlineStr">
        <is>
          <t>Visit / Prospect</t>
        </is>
      </c>
      <c r="F167" s="6" t="n">
        <v>10</v>
      </c>
      <c r="G167" s="6" t="n">
        <v>0</v>
      </c>
      <c r="H167" s="6" t="inlineStr">
        <is>
          <t>0</t>
        </is>
      </c>
      <c r="I167" s="6" t="inlineStr">
        <is>
          <t>0</t>
        </is>
      </c>
      <c r="J167" s="6" t="inlineStr"/>
      <c r="K167" s="6" t="inlineStr">
        <is>
          <t>2026-07-01</t>
        </is>
      </c>
      <c r="L167" s="6" t="inlineStr">
        <is>
          <t>15</t>
        </is>
      </c>
      <c r="M167" s="6" t="n">
        <v/>
      </c>
      <c r="N167" s="6" t="inlineStr">
        <is>
          <t>45</t>
        </is>
      </c>
      <c r="O167" s="6" t="inlineStr">
        <is>
          <t>J-D10</t>
        </is>
      </c>
      <c r="P167" s="6" t="inlineStr">
        <is>
          <t>Southfield</t>
        </is>
      </c>
      <c r="Q167" s="6" t="inlineStr">
        <is>
          <t>29355 Northwestern Hwy ste 100, Southfield, Michigan, 48034</t>
        </is>
      </c>
      <c r="R167" s="6" t="inlineStr"/>
      <c r="S167" s="6" t="inlineStr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</row>
    <row r="168">
      <c r="A168" s="6" t="inlineStr">
        <is>
          <t>Pain Clinic of Michigan</t>
        </is>
      </c>
      <c r="B168" s="6" t="inlineStr">
        <is>
          <t>bdc96513-2e4b-4263-916b-792d4001c0b0</t>
        </is>
      </c>
      <c r="C168" s="6" t="inlineStr">
        <is>
          <t>Pain</t>
        </is>
      </c>
      <c r="D168" s="6" t="inlineStr">
        <is>
          <t>Prospect</t>
        </is>
      </c>
      <c r="E168" s="6" t="inlineStr">
        <is>
          <t>Visit / Prospect</t>
        </is>
      </c>
      <c r="F168" s="6" t="n">
        <v>10</v>
      </c>
      <c r="G168" s="6" t="n">
        <v>0</v>
      </c>
      <c r="H168" s="6" t="inlineStr">
        <is>
          <t>0</t>
        </is>
      </c>
      <c r="I168" s="6" t="inlineStr">
        <is>
          <t>0</t>
        </is>
      </c>
      <c r="J168" s="6" t="inlineStr"/>
      <c r="K168" s="6" t="inlineStr">
        <is>
          <t>2026-05-20</t>
        </is>
      </c>
      <c r="L168" s="6" t="inlineStr">
        <is>
          <t>57</t>
        </is>
      </c>
      <c r="M168" s="6" t="n">
        <v/>
      </c>
      <c r="N168" s="6" t="inlineStr">
        <is>
          <t>45</t>
        </is>
      </c>
      <c r="O168" s="6" t="inlineStr">
        <is>
          <t>J-D10</t>
        </is>
      </c>
      <c r="P168" s="6" t="inlineStr">
        <is>
          <t>Farmington Hills</t>
        </is>
      </c>
      <c r="Q168" s="6" t="inlineStr">
        <is>
          <t>23800 Orchard Lake Rd, Farmington Hills, Michigan, 48336</t>
        </is>
      </c>
      <c r="R168" s="6" t="inlineStr"/>
      <c r="S168" s="6" t="inlineStr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>
      <c r="A169" s="6" t="inlineStr">
        <is>
          <t>Botsford General Hospital</t>
        </is>
      </c>
      <c r="B169" s="6" t="inlineStr">
        <is>
          <t>00-853-2889</t>
        </is>
      </c>
      <c r="C169" s="6" t="inlineStr">
        <is>
          <t>PCP</t>
        </is>
      </c>
      <c r="D169" s="6" t="inlineStr">
        <is>
          <t>Prospect</t>
        </is>
      </c>
      <c r="E169" s="6" t="inlineStr">
        <is>
          <t>Visit / Prospect</t>
        </is>
      </c>
      <c r="F169" s="6" t="n">
        <v>10</v>
      </c>
      <c r="G169" s="6" t="n">
        <v>0</v>
      </c>
      <c r="H169" s="6" t="inlineStr">
        <is>
          <t>0</t>
        </is>
      </c>
      <c r="I169" s="6" t="inlineStr">
        <is>
          <t>0</t>
        </is>
      </c>
      <c r="J169" s="6" t="inlineStr"/>
      <c r="K169" s="6" t="inlineStr">
        <is>
          <t>2026-06-26</t>
        </is>
      </c>
      <c r="L169" s="6" t="inlineStr">
        <is>
          <t>20</t>
        </is>
      </c>
      <c r="M169" s="6" t="n">
        <v/>
      </c>
      <c r="N169" s="6" t="inlineStr">
        <is>
          <t>45</t>
        </is>
      </c>
      <c r="O169" s="6" t="inlineStr">
        <is>
          <t>J-D10</t>
        </is>
      </c>
      <c r="P169" s="6" t="inlineStr">
        <is>
          <t>Livonia</t>
        </is>
      </c>
      <c r="Q169" s="6" t="inlineStr">
        <is>
          <t>28711 8 Mile Rd Ste E, Livonia, MI, 48152-2041</t>
        </is>
      </c>
      <c r="R169" s="6" t="inlineStr"/>
      <c r="S169" s="6" t="inlineStr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</row>
    <row r="170">
      <c r="A170" s="6" t="inlineStr">
        <is>
          <t>Oak Street Health</t>
        </is>
      </c>
      <c r="B170" s="6" t="inlineStr">
        <is>
          <t>cce6f965-cad7-4eb7-baf6-90f4191f2dea</t>
        </is>
      </c>
      <c r="C170" s="6" t="inlineStr">
        <is>
          <t>PCP</t>
        </is>
      </c>
      <c r="D170" s="6" t="inlineStr">
        <is>
          <t>Prospect</t>
        </is>
      </c>
      <c r="E170" s="6" t="inlineStr">
        <is>
          <t>Visit / Prospect</t>
        </is>
      </c>
      <c r="F170" s="6" t="n">
        <v>10</v>
      </c>
      <c r="G170" s="6" t="n">
        <v>0</v>
      </c>
      <c r="H170" s="6" t="inlineStr">
        <is>
          <t>0</t>
        </is>
      </c>
      <c r="I170" s="6" t="inlineStr">
        <is>
          <t>0</t>
        </is>
      </c>
      <c r="J170" s="6" t="inlineStr"/>
      <c r="K170" s="6" t="inlineStr">
        <is>
          <t>2026-06-25</t>
        </is>
      </c>
      <c r="L170" s="6" t="inlineStr">
        <is>
          <t>21</t>
        </is>
      </c>
      <c r="M170" s="6" t="n">
        <v/>
      </c>
      <c r="N170" s="6" t="inlineStr">
        <is>
          <t>45</t>
        </is>
      </c>
      <c r="O170" s="6" t="inlineStr">
        <is>
          <t>J-D11</t>
        </is>
      </c>
      <c r="P170" s="6" t="inlineStr">
        <is>
          <t>Detroit</t>
        </is>
      </c>
      <c r="Q170" s="6" t="inlineStr">
        <is>
          <t>18610 Fenkell ave, Detroit, Michigan, 48223</t>
        </is>
      </c>
      <c r="R170" s="6" t="inlineStr"/>
      <c r="S170" s="6" t="inlineStr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>
      <c r="A171" s="6" t="inlineStr">
        <is>
          <t>MICHIGAN INTERNAL MEDICINE ASSOCIATES, PC</t>
        </is>
      </c>
      <c r="B171" s="6" t="inlineStr">
        <is>
          <t>f58827d6-6d21-48d0-b5ca-f235d234678b</t>
        </is>
      </c>
      <c r="C171" s="6" t="inlineStr">
        <is>
          <t>PCP</t>
        </is>
      </c>
      <c r="D171" s="6" t="inlineStr">
        <is>
          <t>Prospect</t>
        </is>
      </c>
      <c r="E171" s="6" t="inlineStr">
        <is>
          <t>Visit / Prospect</t>
        </is>
      </c>
      <c r="F171" s="6" t="n">
        <v>10</v>
      </c>
      <c r="G171" s="6" t="n">
        <v>0</v>
      </c>
      <c r="H171" s="6" t="inlineStr">
        <is>
          <t>0</t>
        </is>
      </c>
      <c r="I171" s="6" t="inlineStr">
        <is>
          <t>0</t>
        </is>
      </c>
      <c r="J171" s="6" t="inlineStr"/>
      <c r="K171" s="6" t="inlineStr">
        <is>
          <t>2026-06-17</t>
        </is>
      </c>
      <c r="L171" s="6" t="inlineStr">
        <is>
          <t>29</t>
        </is>
      </c>
      <c r="M171" s="6" t="n">
        <v/>
      </c>
      <c r="N171" s="6" t="inlineStr">
        <is>
          <t>45</t>
        </is>
      </c>
      <c r="O171" s="6" t="inlineStr">
        <is>
          <t>J-D11</t>
        </is>
      </c>
      <c r="P171" s="6" t="inlineStr">
        <is>
          <t>Dearborn Heights</t>
        </is>
      </c>
      <c r="Q171" s="6" t="inlineStr">
        <is>
          <t>24548 West Warren Street, Dearborn Heights, Michigan, 48127</t>
        </is>
      </c>
      <c r="R171" s="6" t="inlineStr"/>
      <c r="S171" s="6" t="inlineStr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</row>
    <row r="172">
      <c r="A172" s="6" t="inlineStr">
        <is>
          <t>LIVINGSTON MEDICAL CENTER</t>
        </is>
      </c>
      <c r="B172" s="6" t="inlineStr">
        <is>
          <t>675dfc18-3771-4c90-9157-cb23026fc251</t>
        </is>
      </c>
      <c r="C172" s="6" t="inlineStr">
        <is>
          <t>Orthopedic</t>
        </is>
      </c>
      <c r="D172" s="6" t="inlineStr">
        <is>
          <t>Prospect</t>
        </is>
      </c>
      <c r="E172" s="6" t="inlineStr">
        <is>
          <t>Visit / Prospect</t>
        </is>
      </c>
      <c r="F172" s="6" t="n">
        <v>10</v>
      </c>
      <c r="G172" s="6" t="n">
        <v>0</v>
      </c>
      <c r="H172" s="6" t="inlineStr">
        <is>
          <t>0</t>
        </is>
      </c>
      <c r="I172" s="6" t="inlineStr">
        <is>
          <t>0</t>
        </is>
      </c>
      <c r="J172" s="6" t="inlineStr"/>
      <c r="K172" s="6" t="inlineStr">
        <is>
          <t>2026-06-05</t>
        </is>
      </c>
      <c r="L172" s="6" t="inlineStr">
        <is>
          <t>41</t>
        </is>
      </c>
      <c r="M172" s="6" t="n">
        <v/>
      </c>
      <c r="N172" s="6" t="inlineStr">
        <is>
          <t>45</t>
        </is>
      </c>
      <c r="O172" s="6" t="inlineStr">
        <is>
          <t>J-D12</t>
        </is>
      </c>
      <c r="P172" s="6" t="inlineStr">
        <is>
          <t>Brighton</t>
        </is>
      </c>
      <c r="Q172" s="6" t="inlineStr">
        <is>
          <t>5865 Whitmore Lake Road, Brighton, Michigan, 48116</t>
        </is>
      </c>
      <c r="R172" s="6" t="inlineStr"/>
      <c r="S172" s="6" t="inlineStr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>
      <c r="A173" s="6" t="inlineStr">
        <is>
          <t>COMPREHENSIVE INTEGRATIVE HEALTH CARE</t>
        </is>
      </c>
      <c r="B173" s="6" t="inlineStr">
        <is>
          <t>2d41ea24-2571-4304-b0db-34c591f455d3</t>
        </is>
      </c>
      <c r="C173" s="6" t="inlineStr">
        <is>
          <t>PCP</t>
        </is>
      </c>
      <c r="D173" s="6" t="inlineStr">
        <is>
          <t>Prospect</t>
        </is>
      </c>
      <c r="E173" s="6" t="inlineStr">
        <is>
          <t>Visit / Prospect</t>
        </is>
      </c>
      <c r="F173" s="6" t="n">
        <v>10</v>
      </c>
      <c r="G173" s="6" t="n">
        <v>0</v>
      </c>
      <c r="H173" s="6" t="inlineStr">
        <is>
          <t>0</t>
        </is>
      </c>
      <c r="I173" s="6" t="inlineStr">
        <is>
          <t>0</t>
        </is>
      </c>
      <c r="J173" s="6" t="inlineStr"/>
      <c r="K173" s="6" t="inlineStr">
        <is>
          <t>2026-06-12</t>
        </is>
      </c>
      <c r="L173" s="6" t="inlineStr">
        <is>
          <t>34</t>
        </is>
      </c>
      <c r="M173" s="6" t="n">
        <v/>
      </c>
      <c r="N173" s="6" t="inlineStr">
        <is>
          <t>45</t>
        </is>
      </c>
      <c r="O173" s="6" t="inlineStr">
        <is>
          <t>J-D12</t>
        </is>
      </c>
      <c r="P173" s="6" t="inlineStr">
        <is>
          <t>NOVI</t>
        </is>
      </c>
      <c r="Q173" s="6" t="inlineStr">
        <is>
          <t>30880 BECK RD, NOVI, MI, 48377</t>
        </is>
      </c>
      <c r="R173" s="6" t="inlineStr"/>
      <c r="S173" s="6" t="inlineStr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</row>
    <row r="174">
      <c r="A174" s="6" t="inlineStr">
        <is>
          <t>Raad Al-Saraf MD PC</t>
        </is>
      </c>
      <c r="B174" s="6" t="inlineStr">
        <is>
          <t>eb867788-d5d3-410e-8380-0d4ac6bb5f56</t>
        </is>
      </c>
      <c r="C174" s="6" t="inlineStr">
        <is>
          <t>Orthopedic</t>
        </is>
      </c>
      <c r="D174" s="6" t="inlineStr">
        <is>
          <t>Prospect</t>
        </is>
      </c>
      <c r="E174" s="6" t="inlineStr">
        <is>
          <t>Visit / Prospect</t>
        </is>
      </c>
      <c r="F174" s="6" t="n">
        <v>10</v>
      </c>
      <c r="G174" s="6" t="n">
        <v>0</v>
      </c>
      <c r="H174" s="6" t="inlineStr">
        <is>
          <t>0</t>
        </is>
      </c>
      <c r="I174" s="6" t="inlineStr">
        <is>
          <t>0</t>
        </is>
      </c>
      <c r="J174" s="6" t="inlineStr"/>
      <c r="K174" s="6" t="inlineStr">
        <is>
          <t>2026-06-01</t>
        </is>
      </c>
      <c r="L174" s="6" t="inlineStr">
        <is>
          <t>45</t>
        </is>
      </c>
      <c r="M174" s="6" t="n">
        <v/>
      </c>
      <c r="N174" s="6" t="inlineStr">
        <is>
          <t>45</t>
        </is>
      </c>
      <c r="O174" s="6" t="inlineStr">
        <is>
          <t>J-D13</t>
        </is>
      </c>
      <c r="P174" s="6" t="inlineStr">
        <is>
          <t>Dearborn</t>
        </is>
      </c>
      <c r="Q174" s="6" t="inlineStr">
        <is>
          <t>6840 Greenfield Rd, Dearborn, Michigan, 48126</t>
        </is>
      </c>
      <c r="R174" s="6" t="inlineStr"/>
      <c r="S174" s="6" t="inlineStr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>
      <c r="A175" s="6" t="inlineStr">
        <is>
          <t>Get Well Urgent Care Southfield</t>
        </is>
      </c>
      <c r="B175" s="6" t="inlineStr">
        <is>
          <t>81a09b96-6834-4950-963a-abff6d4aac6b</t>
        </is>
      </c>
      <c r="C175" s="6" t="inlineStr">
        <is>
          <t>Urgent Care</t>
        </is>
      </c>
      <c r="D175" s="6" t="inlineStr">
        <is>
          <t>Prospect</t>
        </is>
      </c>
      <c r="E175" s="6" t="inlineStr">
        <is>
          <t>Visit / Prospect</t>
        </is>
      </c>
      <c r="F175" s="6" t="n">
        <v>10</v>
      </c>
      <c r="G175" s="6" t="n">
        <v>0</v>
      </c>
      <c r="H175" s="6" t="inlineStr">
        <is>
          <t>0</t>
        </is>
      </c>
      <c r="I175" s="6" t="inlineStr">
        <is>
          <t>0</t>
        </is>
      </c>
      <c r="J175" s="6" t="inlineStr"/>
      <c r="K175" s="6" t="inlineStr">
        <is>
          <t>2026-06-30</t>
        </is>
      </c>
      <c r="L175" s="6" t="inlineStr">
        <is>
          <t>16</t>
        </is>
      </c>
      <c r="M175" s="6" t="n">
        <v/>
      </c>
      <c r="N175" s="6" t="inlineStr">
        <is>
          <t>45</t>
        </is>
      </c>
      <c r="O175" s="6" t="inlineStr">
        <is>
          <t>J-D14</t>
        </is>
      </c>
      <c r="P175" s="6" t="inlineStr">
        <is>
          <t>Southfield</t>
        </is>
      </c>
      <c r="Q175" s="6" t="inlineStr">
        <is>
          <t>23832 Southfield Road, Southfield, Michigan, 48075</t>
        </is>
      </c>
      <c r="R175" s="6" t="inlineStr"/>
      <c r="S175" s="6" t="inlineStr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</row>
    <row r="176">
      <c r="A176" s="6" t="inlineStr">
        <is>
          <t>Doctors Urgent Care - Southfield</t>
        </is>
      </c>
      <c r="B176" s="6" t="inlineStr">
        <is>
          <t>55ee4a28-a427-426a-af8b-9c8a13993671</t>
        </is>
      </c>
      <c r="C176" s="6" t="inlineStr">
        <is>
          <t>Urgent Care</t>
        </is>
      </c>
      <c r="D176" s="6" t="inlineStr">
        <is>
          <t>Prospect</t>
        </is>
      </c>
      <c r="E176" s="6" t="inlineStr">
        <is>
          <t>Visit / Prospect</t>
        </is>
      </c>
      <c r="F176" s="6" t="n">
        <v>10</v>
      </c>
      <c r="G176" s="6" t="n">
        <v>0</v>
      </c>
      <c r="H176" s="6" t="inlineStr">
        <is>
          <t>0</t>
        </is>
      </c>
      <c r="I176" s="6" t="inlineStr">
        <is>
          <t>0</t>
        </is>
      </c>
      <c r="J176" s="6" t="inlineStr"/>
      <c r="K176" s="6" t="inlineStr">
        <is>
          <t>2026-06-30</t>
        </is>
      </c>
      <c r="L176" s="6" t="inlineStr">
        <is>
          <t>16</t>
        </is>
      </c>
      <c r="M176" s="6" t="n">
        <v/>
      </c>
      <c r="N176" s="6" t="inlineStr">
        <is>
          <t>45</t>
        </is>
      </c>
      <c r="O176" s="6" t="inlineStr">
        <is>
          <t>J-D14</t>
        </is>
      </c>
      <c r="P176" s="6" t="inlineStr">
        <is>
          <t>Southfield</t>
        </is>
      </c>
      <c r="Q176" s="6" t="inlineStr">
        <is>
          <t>29405 Greenfield Rd, Southfield, Michigan, 48076</t>
        </is>
      </c>
      <c r="R176" s="6" t="inlineStr"/>
      <c r="S176" s="6" t="inlineStr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>
      <c r="A177" s="6" t="inlineStr">
        <is>
          <t>EXPRESS MED URGENT CARE</t>
        </is>
      </c>
      <c r="B177" s="6" t="inlineStr">
        <is>
          <t>3c8ceb06-c9a0-412a-964a-82f58cf0827e</t>
        </is>
      </c>
      <c r="C177" s="6" t="inlineStr">
        <is>
          <t>Urgent Care</t>
        </is>
      </c>
      <c r="D177" s="6" t="inlineStr">
        <is>
          <t>Prospect</t>
        </is>
      </c>
      <c r="E177" s="6" t="inlineStr">
        <is>
          <t>Visit / Prospect</t>
        </is>
      </c>
      <c r="F177" s="6" t="n">
        <v>10</v>
      </c>
      <c r="G177" s="6" t="n">
        <v>0</v>
      </c>
      <c r="H177" s="6" t="inlineStr">
        <is>
          <t>0</t>
        </is>
      </c>
      <c r="I177" s="6" t="inlineStr">
        <is>
          <t>0</t>
        </is>
      </c>
      <c r="J177" s="6" t="inlineStr"/>
      <c r="K177" s="6" t="inlineStr">
        <is>
          <t>2026-06-29</t>
        </is>
      </c>
      <c r="L177" s="6" t="inlineStr">
        <is>
          <t>17</t>
        </is>
      </c>
      <c r="M177" s="6" t="n">
        <v/>
      </c>
      <c r="N177" s="6" t="inlineStr">
        <is>
          <t>45</t>
        </is>
      </c>
      <c r="O177" s="6" t="inlineStr">
        <is>
          <t>J-D14</t>
        </is>
      </c>
      <c r="P177" s="6" t="inlineStr">
        <is>
          <t>SOUTHFIELD</t>
        </is>
      </c>
      <c r="Q177" s="6" t="inlineStr">
        <is>
          <t>19725 W 12 MILE RD, SOUTHFIELD, Michigan</t>
        </is>
      </c>
      <c r="R177" s="6" t="inlineStr"/>
      <c r="S177" s="6" t="inlineStr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</row>
    <row r="178">
      <c r="A178" s="6" t="inlineStr">
        <is>
          <t>MI Express Care</t>
        </is>
      </c>
      <c r="B178" s="6" t="inlineStr">
        <is>
          <t>4e9f385c-33e2-4783-a7a3-18d71a99d587</t>
        </is>
      </c>
      <c r="C178" s="6" t="inlineStr">
        <is>
          <t>Urgent Care</t>
        </is>
      </c>
      <c r="D178" s="6" t="inlineStr">
        <is>
          <t>Prospect</t>
        </is>
      </c>
      <c r="E178" s="6" t="inlineStr">
        <is>
          <t>Visit / Prospect</t>
        </is>
      </c>
      <c r="F178" s="6" t="n">
        <v>10</v>
      </c>
      <c r="G178" s="6" t="n">
        <v>0</v>
      </c>
      <c r="H178" s="6" t="inlineStr">
        <is>
          <t>0</t>
        </is>
      </c>
      <c r="I178" s="6" t="inlineStr">
        <is>
          <t>0</t>
        </is>
      </c>
      <c r="J178" s="6" t="inlineStr"/>
      <c r="K178" s="6" t="inlineStr">
        <is>
          <t>2026-06-17</t>
        </is>
      </c>
      <c r="L178" s="6" t="inlineStr">
        <is>
          <t>29</t>
        </is>
      </c>
      <c r="M178" s="6" t="n">
        <v/>
      </c>
      <c r="N178" s="6" t="inlineStr">
        <is>
          <t>45</t>
        </is>
      </c>
      <c r="O178" s="6" t="inlineStr">
        <is>
          <t>J-D15</t>
        </is>
      </c>
      <c r="P178" s="6" t="inlineStr">
        <is>
          <t>CANTON</t>
        </is>
      </c>
      <c r="Q178" s="6" t="inlineStr">
        <is>
          <t>44237 MICHIGAN AVE, CANTON, MI, 48188</t>
        </is>
      </c>
      <c r="R178" s="6" t="inlineStr"/>
      <c r="S178" s="6" t="inlineStr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>
      <c r="A179" s="6" t="inlineStr">
        <is>
          <t>IHA ORTHOPAEDIC SURGERY ASSOCIATES - CANTON</t>
        </is>
      </c>
      <c r="B179" s="6" t="inlineStr">
        <is>
          <t>4ed90cf1-abdb-42c8-9e56-86ef1478b14a</t>
        </is>
      </c>
      <c r="C179" s="6" t="inlineStr">
        <is>
          <t>Orthopedic</t>
        </is>
      </c>
      <c r="D179" s="6" t="inlineStr">
        <is>
          <t>Prospect</t>
        </is>
      </c>
      <c r="E179" s="6" t="inlineStr">
        <is>
          <t>Visit / Prospect</t>
        </is>
      </c>
      <c r="F179" s="6" t="n">
        <v>10</v>
      </c>
      <c r="G179" s="6" t="n">
        <v>0</v>
      </c>
      <c r="H179" s="6" t="inlineStr">
        <is>
          <t>0</t>
        </is>
      </c>
      <c r="I179" s="6" t="inlineStr">
        <is>
          <t>0</t>
        </is>
      </c>
      <c r="J179" s="6" t="inlineStr"/>
      <c r="K179" s="6" t="inlineStr">
        <is>
          <t>2026-06-02</t>
        </is>
      </c>
      <c r="L179" s="6" t="inlineStr">
        <is>
          <t>44</t>
        </is>
      </c>
      <c r="M179" s="6" t="n">
        <v/>
      </c>
      <c r="N179" s="6" t="inlineStr">
        <is>
          <t>45</t>
        </is>
      </c>
      <c r="O179" s="6" t="inlineStr">
        <is>
          <t>J-D15</t>
        </is>
      </c>
      <c r="P179" s="6" t="inlineStr">
        <is>
          <t>CANTON</t>
        </is>
      </c>
      <c r="Q179" s="6" t="inlineStr">
        <is>
          <t>1600 S CANTON CENTER RD STE 2200, CANTON, MI, 48188</t>
        </is>
      </c>
      <c r="R179" s="6" t="inlineStr"/>
      <c r="S179" s="6" t="inlineStr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</row>
    <row r="180">
      <c r="A180" s="6" t="inlineStr">
        <is>
          <t>TRINITY HEALTH URGENT CARE- Livonia</t>
        </is>
      </c>
      <c r="B180" s="6" t="inlineStr">
        <is>
          <t>21da51f8-241e-484b-9dac-cd0c99714ca6</t>
        </is>
      </c>
      <c r="C180" s="6" t="inlineStr">
        <is>
          <t>Urgent Care</t>
        </is>
      </c>
      <c r="D180" s="6" t="inlineStr">
        <is>
          <t>Prospect</t>
        </is>
      </c>
      <c r="E180" s="6" t="inlineStr">
        <is>
          <t>Visit / Prospect</t>
        </is>
      </c>
      <c r="F180" s="6" t="n">
        <v>10</v>
      </c>
      <c r="G180" s="6" t="n">
        <v>0</v>
      </c>
      <c r="H180" s="6" t="inlineStr">
        <is>
          <t>0</t>
        </is>
      </c>
      <c r="I180" s="6" t="inlineStr">
        <is>
          <t>0</t>
        </is>
      </c>
      <c r="J180" s="6" t="inlineStr"/>
      <c r="K180" s="6" t="inlineStr">
        <is>
          <t>2026-06-09</t>
        </is>
      </c>
      <c r="L180" s="6" t="inlineStr">
        <is>
          <t>37</t>
        </is>
      </c>
      <c r="M180" s="6" t="n">
        <v/>
      </c>
      <c r="N180" s="6" t="inlineStr">
        <is>
          <t>45</t>
        </is>
      </c>
      <c r="O180" s="6" t="inlineStr">
        <is>
          <t>J-D16</t>
        </is>
      </c>
      <c r="P180" s="6" t="inlineStr">
        <is>
          <t>Livonia</t>
        </is>
      </c>
      <c r="Q180" s="6" t="inlineStr">
        <is>
          <t>29370 Plymouth Rd, Livonia, Michigan, 48150</t>
        </is>
      </c>
      <c r="R180" s="6" t="inlineStr"/>
      <c r="S180" s="6" t="inlineStr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>
      <c r="A181" s="6" t="inlineStr">
        <is>
          <t>Henry Ford urgent care Livonia</t>
        </is>
      </c>
      <c r="B181" s="6" t="inlineStr">
        <is>
          <t>3e9f6915-4170-47c8-892b-d54aead4f00f</t>
        </is>
      </c>
      <c r="C181" s="6" t="inlineStr">
        <is>
          <t>Urgent Care</t>
        </is>
      </c>
      <c r="D181" s="6" t="inlineStr">
        <is>
          <t>Prospect</t>
        </is>
      </c>
      <c r="E181" s="6" t="inlineStr">
        <is>
          <t>Visit / Prospect</t>
        </is>
      </c>
      <c r="F181" s="6" t="n">
        <v>10</v>
      </c>
      <c r="G181" s="6" t="n">
        <v>0</v>
      </c>
      <c r="H181" s="6" t="inlineStr">
        <is>
          <t>0</t>
        </is>
      </c>
      <c r="I181" s="6" t="inlineStr">
        <is>
          <t>0</t>
        </is>
      </c>
      <c r="J181" s="6" t="inlineStr"/>
      <c r="K181" s="6" t="inlineStr">
        <is>
          <t>2026-06-09</t>
        </is>
      </c>
      <c r="L181" s="6" t="inlineStr">
        <is>
          <t>37</t>
        </is>
      </c>
      <c r="M181" s="6" t="n">
        <v/>
      </c>
      <c r="N181" s="6" t="inlineStr">
        <is>
          <t>45</t>
        </is>
      </c>
      <c r="O181" s="6" t="inlineStr">
        <is>
          <t>J-D16</t>
        </is>
      </c>
      <c r="P181" s="6" t="inlineStr">
        <is>
          <t>Livonia</t>
        </is>
      </c>
      <c r="Q181" s="6" t="inlineStr">
        <is>
          <t>29531 Plymouth Road, Livonia, Michigan, 48150</t>
        </is>
      </c>
      <c r="R181" s="6" t="inlineStr"/>
      <c r="S181" s="6" t="inlineStr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</row>
    <row r="182">
      <c r="A182" s="6" t="inlineStr">
        <is>
          <t>Lawrence Lipnik MD,</t>
        </is>
      </c>
      <c r="B182" s="6" t="inlineStr">
        <is>
          <t>1366444705</t>
        </is>
      </c>
      <c r="C182" s="6" t="inlineStr">
        <is>
          <t>PCP</t>
        </is>
      </c>
      <c r="D182" s="6" t="inlineStr">
        <is>
          <t>Prospect</t>
        </is>
      </c>
      <c r="E182" s="6" t="inlineStr">
        <is>
          <t>Visit / Prospect</t>
        </is>
      </c>
      <c r="F182" s="6" t="n">
        <v>10</v>
      </c>
      <c r="G182" s="6" t="n">
        <v>0</v>
      </c>
      <c r="H182" s="6" t="inlineStr">
        <is>
          <t>0</t>
        </is>
      </c>
      <c r="I182" s="6" t="inlineStr">
        <is>
          <t>0</t>
        </is>
      </c>
      <c r="J182" s="6" t="inlineStr"/>
      <c r="K182" s="6" t="inlineStr">
        <is>
          <t>2026-06-09</t>
        </is>
      </c>
      <c r="L182" s="6" t="inlineStr">
        <is>
          <t>37</t>
        </is>
      </c>
      <c r="M182" s="6" t="n">
        <v/>
      </c>
      <c r="N182" s="6" t="inlineStr">
        <is>
          <t>45</t>
        </is>
      </c>
      <c r="O182" s="6" t="inlineStr">
        <is>
          <t>J-D16</t>
        </is>
      </c>
      <c r="P182" s="6" t="inlineStr">
        <is>
          <t>Livonia</t>
        </is>
      </c>
      <c r="Q182" s="6" t="inlineStr">
        <is>
          <t>31610 Plymouth Rd, Livonia, MI, 48150</t>
        </is>
      </c>
      <c r="R182" s="6" t="inlineStr"/>
      <c r="S182" s="6" t="inlineStr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  <row r="183">
      <c r="A183" s="6" t="inlineStr">
        <is>
          <t>CARSON, DARCELLE M, MEDICAL GROUP</t>
        </is>
      </c>
      <c r="B183" s="6" t="inlineStr">
        <is>
          <t>704729b8-3a54-4b54-b3e3-ace46754f52b</t>
        </is>
      </c>
      <c r="C183" s="6" t="inlineStr">
        <is>
          <t>Orthopedic</t>
        </is>
      </c>
      <c r="D183" s="6" t="inlineStr">
        <is>
          <t>Prospect</t>
        </is>
      </c>
      <c r="E183" s="6" t="inlineStr">
        <is>
          <t>Visit / Prospect</t>
        </is>
      </c>
      <c r="F183" s="6" t="n">
        <v>10</v>
      </c>
      <c r="G183" s="6" t="n">
        <v>0</v>
      </c>
      <c r="H183" s="6" t="inlineStr">
        <is>
          <t>0</t>
        </is>
      </c>
      <c r="I183" s="6" t="inlineStr">
        <is>
          <t>0</t>
        </is>
      </c>
      <c r="J183" s="6" t="inlineStr"/>
      <c r="K183" s="6" t="inlineStr">
        <is>
          <t>2026-06-09</t>
        </is>
      </c>
      <c r="L183" s="6" t="inlineStr">
        <is>
          <t>37</t>
        </is>
      </c>
      <c r="M183" s="6" t="n">
        <v/>
      </c>
      <c r="N183" s="6" t="inlineStr">
        <is>
          <t>45</t>
        </is>
      </c>
      <c r="O183" s="6" t="inlineStr">
        <is>
          <t>J-D16</t>
        </is>
      </c>
      <c r="P183" s="6" t="inlineStr">
        <is>
          <t>Livonia</t>
        </is>
      </c>
      <c r="Q183" s="6" t="inlineStr">
        <is>
          <t>31705 Plymouth Road, Livonia, Michigan, 48150</t>
        </is>
      </c>
      <c r="R183" s="6" t="inlineStr"/>
      <c r="S183" s="6" t="inlineStr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</row>
    <row r="184">
      <c r="A184" s="6" t="inlineStr">
        <is>
          <t>Chiro-Care of Livonia</t>
        </is>
      </c>
      <c r="B184" s="6" t="inlineStr">
        <is>
          <t>d322402c-b030-4d0f-bc0e-3e895e6aefed</t>
        </is>
      </c>
      <c r="C184" s="6" t="inlineStr">
        <is>
          <t>Chiropractor</t>
        </is>
      </c>
      <c r="D184" s="6" t="inlineStr">
        <is>
          <t>Prospect</t>
        </is>
      </c>
      <c r="E184" s="6" t="inlineStr">
        <is>
          <t>Visit / Prospect</t>
        </is>
      </c>
      <c r="F184" s="6" t="n">
        <v>10</v>
      </c>
      <c r="G184" s="6" t="n">
        <v>0</v>
      </c>
      <c r="H184" s="6" t="inlineStr">
        <is>
          <t>0</t>
        </is>
      </c>
      <c r="I184" s="6" t="inlineStr">
        <is>
          <t>0</t>
        </is>
      </c>
      <c r="J184" s="6" t="inlineStr"/>
      <c r="K184" s="6" t="inlineStr">
        <is>
          <t>2026-06-19</t>
        </is>
      </c>
      <c r="L184" s="6" t="inlineStr">
        <is>
          <t>27</t>
        </is>
      </c>
      <c r="M184" s="6" t="n">
        <v/>
      </c>
      <c r="N184" s="6" t="inlineStr">
        <is>
          <t>45</t>
        </is>
      </c>
      <c r="O184" s="6" t="inlineStr">
        <is>
          <t>J-D16</t>
        </is>
      </c>
      <c r="P184" s="6" t="inlineStr">
        <is>
          <t>Livonia</t>
        </is>
      </c>
      <c r="Q184" s="6" t="inlineStr">
        <is>
          <t>28925 West Seven Mile Road, Livonia, Michigan, 48152</t>
        </is>
      </c>
      <c r="R184" s="6" t="inlineStr"/>
      <c r="S184" s="6" t="inlineStr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</row>
    <row r="185">
      <c r="A185" s="6" t="inlineStr">
        <is>
          <t>Doctors urgent care</t>
        </is>
      </c>
      <c r="B185" s="6" t="inlineStr">
        <is>
          <t>5d20f222-29ea-4029-b53a-fb46b570224a</t>
        </is>
      </c>
      <c r="C185" s="6" t="inlineStr">
        <is>
          <t>Urgent Care</t>
        </is>
      </c>
      <c r="D185" s="6" t="inlineStr">
        <is>
          <t>Prospect</t>
        </is>
      </c>
      <c r="E185" s="6" t="inlineStr">
        <is>
          <t>Visit / Prospect</t>
        </is>
      </c>
      <c r="F185" s="6" t="n">
        <v>10</v>
      </c>
      <c r="G185" s="6" t="n">
        <v>0</v>
      </c>
      <c r="H185" s="6" t="inlineStr">
        <is>
          <t>0</t>
        </is>
      </c>
      <c r="I185" s="6" t="inlineStr">
        <is>
          <t>0</t>
        </is>
      </c>
      <c r="J185" s="6" t="inlineStr"/>
      <c r="K185" s="6" t="inlineStr">
        <is>
          <t>2026-06-09</t>
        </is>
      </c>
      <c r="L185" s="6" t="inlineStr">
        <is>
          <t>37</t>
        </is>
      </c>
      <c r="M185" s="6" t="n">
        <v/>
      </c>
      <c r="N185" s="6" t="inlineStr">
        <is>
          <t>45</t>
        </is>
      </c>
      <c r="O185" s="6" t="inlineStr">
        <is>
          <t>J-D17</t>
        </is>
      </c>
      <c r="P185" s="6" t="inlineStr">
        <is>
          <t>Livonia</t>
        </is>
      </c>
      <c r="Q185" s="6" t="inlineStr">
        <is>
          <t>36700 5 Mile road, Livonia, Michigan, 48154</t>
        </is>
      </c>
      <c r="R185" s="6" t="inlineStr"/>
      <c r="S185" s="6" t="inlineStr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</row>
    <row r="186">
      <c r="A186" s="6" t="inlineStr">
        <is>
          <t>Team Rehabilitation physical therapy</t>
        </is>
      </c>
      <c r="B186" s="6" t="inlineStr">
        <is>
          <t>a54a2298-2335-4dcd-bf99-f21c492abfd1</t>
        </is>
      </c>
      <c r="C186" s="6" t="inlineStr">
        <is>
          <t>PT</t>
        </is>
      </c>
      <c r="D186" s="6" t="inlineStr">
        <is>
          <t>Prospect</t>
        </is>
      </c>
      <c r="E186" s="6" t="inlineStr">
        <is>
          <t>Visit / Prospect</t>
        </is>
      </c>
      <c r="F186" s="6" t="n">
        <v>10</v>
      </c>
      <c r="G186" s="6" t="n">
        <v>0</v>
      </c>
      <c r="H186" s="6" t="inlineStr">
        <is>
          <t>0</t>
        </is>
      </c>
      <c r="I186" s="6" t="inlineStr">
        <is>
          <t>0</t>
        </is>
      </c>
      <c r="J186" s="6" t="inlineStr"/>
      <c r="K186" s="6" t="inlineStr">
        <is>
          <t>2026-07-16</t>
        </is>
      </c>
      <c r="L186" s="6" t="inlineStr">
        <is>
          <t>0</t>
        </is>
      </c>
      <c r="M186" s="6" t="n">
        <v/>
      </c>
      <c r="N186" s="6" t="inlineStr">
        <is>
          <t>45</t>
        </is>
      </c>
      <c r="O186" s="6" t="inlineStr">
        <is>
          <t>J-D17</t>
        </is>
      </c>
      <c r="P186" s="6" t="inlineStr">
        <is>
          <t>Livonia</t>
        </is>
      </c>
      <c r="Q186" s="6" t="inlineStr">
        <is>
          <t>37307 Six Mile Road, Livonia, Michigan, 48152</t>
        </is>
      </c>
      <c r="R186" s="6" t="inlineStr"/>
      <c r="S186" s="6" t="inlineStr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</row>
    <row r="187">
      <c r="A187" s="6" t="inlineStr">
        <is>
          <t>UofM Pain Management - Canton</t>
        </is>
      </c>
      <c r="B187" s="6" t="inlineStr">
        <is>
          <t>5270c72e-7fb5-410d-b0a9-895b97f8ff2e</t>
        </is>
      </c>
      <c r="C187" s="6" t="inlineStr">
        <is>
          <t>Pain</t>
        </is>
      </c>
      <c r="D187" s="6" t="inlineStr">
        <is>
          <t>Prospect</t>
        </is>
      </c>
      <c r="E187" s="6" t="inlineStr">
        <is>
          <t>Visit / Prospect</t>
        </is>
      </c>
      <c r="F187" s="6" t="n">
        <v>10</v>
      </c>
      <c r="G187" s="6" t="n">
        <v>0</v>
      </c>
      <c r="H187" s="6" t="inlineStr">
        <is>
          <t>0</t>
        </is>
      </c>
      <c r="I187" s="6" t="inlineStr">
        <is>
          <t>0</t>
        </is>
      </c>
      <c r="J187" s="6" t="inlineStr"/>
      <c r="K187" s="6" t="inlineStr">
        <is>
          <t>2026-06-11</t>
        </is>
      </c>
      <c r="L187" s="6" t="inlineStr">
        <is>
          <t>35</t>
        </is>
      </c>
      <c r="M187" s="6" t="n">
        <v/>
      </c>
      <c r="N187" s="6" t="inlineStr">
        <is>
          <t>45</t>
        </is>
      </c>
      <c r="O187" s="6" t="inlineStr">
        <is>
          <t>J-D18</t>
        </is>
      </c>
      <c r="P187" s="6" t="inlineStr">
        <is>
          <t>Canton</t>
        </is>
      </c>
      <c r="Q187" s="6" t="inlineStr">
        <is>
          <t>1051 North Canton Center Road, Canton, Michigan, 48187</t>
        </is>
      </c>
      <c r="R187" s="6" t="inlineStr"/>
      <c r="S187" s="6" t="inlineStr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</row>
    <row r="188">
      <c r="A188" s="6" t="inlineStr">
        <is>
          <t>All-Pro Physical Therapy</t>
        </is>
      </c>
      <c r="B188" s="6" t="inlineStr">
        <is>
          <t>9531e09a-b183-4d68-994a-80342d7b0c2e</t>
        </is>
      </c>
      <c r="C188" s="6" t="inlineStr">
        <is>
          <t>Orthopedic</t>
        </is>
      </c>
      <c r="D188" s="6" t="inlineStr">
        <is>
          <t>Prospect</t>
        </is>
      </c>
      <c r="E188" s="6" t="inlineStr">
        <is>
          <t>Visit / Prospect</t>
        </is>
      </c>
      <c r="F188" s="6" t="n">
        <v>10</v>
      </c>
      <c r="G188" s="6" t="n">
        <v>0</v>
      </c>
      <c r="H188" s="6" t="inlineStr">
        <is>
          <t>0</t>
        </is>
      </c>
      <c r="I188" s="6" t="inlineStr">
        <is>
          <t>0</t>
        </is>
      </c>
      <c r="J188" s="6" t="inlineStr"/>
      <c r="K188" s="6" t="inlineStr">
        <is>
          <t>2026-06-02</t>
        </is>
      </c>
      <c r="L188" s="6" t="inlineStr">
        <is>
          <t>44</t>
        </is>
      </c>
      <c r="M188" s="6" t="n">
        <v/>
      </c>
      <c r="N188" s="6" t="inlineStr">
        <is>
          <t>45</t>
        </is>
      </c>
      <c r="O188" s="6" t="inlineStr">
        <is>
          <t>J-D18</t>
        </is>
      </c>
      <c r="P188" s="6" t="inlineStr">
        <is>
          <t>Canton</t>
        </is>
      </c>
      <c r="Q188" s="6" t="inlineStr">
        <is>
          <t>43050 Ford Road, Canton, Michigan, 48187</t>
        </is>
      </c>
      <c r="R188" s="6" t="inlineStr"/>
      <c r="S188" s="6" t="inlineStr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</row>
    <row r="189">
      <c r="A189" s="6" t="inlineStr">
        <is>
          <t>Sarju Shah Family Medicine and Geriatrics</t>
        </is>
      </c>
      <c r="B189" s="6" t="inlineStr">
        <is>
          <t>214bff79-6f8b-47ab-b1c3-a6c140f898c4</t>
        </is>
      </c>
      <c r="C189" s="6" t="inlineStr">
        <is>
          <t>PCP</t>
        </is>
      </c>
      <c r="D189" s="6" t="inlineStr">
        <is>
          <t>Prospect</t>
        </is>
      </c>
      <c r="E189" s="6" t="inlineStr">
        <is>
          <t>Visit / Prospect</t>
        </is>
      </c>
      <c r="F189" s="6" t="n">
        <v>10</v>
      </c>
      <c r="G189" s="6" t="n">
        <v>0</v>
      </c>
      <c r="H189" s="6" t="inlineStr">
        <is>
          <t>0</t>
        </is>
      </c>
      <c r="I189" s="6" t="inlineStr">
        <is>
          <t>0</t>
        </is>
      </c>
      <c r="J189" s="6" t="inlineStr"/>
      <c r="K189" s="6" t="inlineStr">
        <is>
          <t>2026-07-02</t>
        </is>
      </c>
      <c r="L189" s="6" t="inlineStr">
        <is>
          <t>14</t>
        </is>
      </c>
      <c r="M189" s="6" t="n">
        <v/>
      </c>
      <c r="N189" s="6" t="inlineStr">
        <is>
          <t>45</t>
        </is>
      </c>
      <c r="O189" s="6" t="inlineStr">
        <is>
          <t>J-D18</t>
        </is>
      </c>
      <c r="P189" s="6" t="inlineStr">
        <is>
          <t>Canton</t>
        </is>
      </c>
      <c r="Q189" s="6" t="inlineStr">
        <is>
          <t>2050 North Haggerty Road, Canton, Michigan, 48187</t>
        </is>
      </c>
      <c r="R189" s="6" t="inlineStr"/>
      <c r="S189" s="6" t="inlineStr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</row>
    <row r="190">
      <c r="A190" s="6" t="inlineStr">
        <is>
          <t>SOUTH HURON URGENT CARE (CAT 3)</t>
        </is>
      </c>
      <c r="B190" s="6" t="inlineStr">
        <is>
          <t>e3aecbce-4a94-4ebc-beb2-4e10fec69b88</t>
        </is>
      </c>
      <c r="C190" s="6" t="inlineStr">
        <is>
          <t>Orthopedic</t>
        </is>
      </c>
      <c r="D190" s="6" t="inlineStr">
        <is>
          <t>Prospect</t>
        </is>
      </c>
      <c r="E190" s="6" t="inlineStr">
        <is>
          <t>Visit / Prospect</t>
        </is>
      </c>
      <c r="F190" s="6" t="n">
        <v>10</v>
      </c>
      <c r="G190" s="6" t="n">
        <v>0</v>
      </c>
      <c r="H190" s="6" t="inlineStr">
        <is>
          <t>0</t>
        </is>
      </c>
      <c r="I190" s="6" t="inlineStr">
        <is>
          <t>0</t>
        </is>
      </c>
      <c r="J190" s="6" t="inlineStr"/>
      <c r="K190" s="6" t="inlineStr">
        <is>
          <t>2026-06-08</t>
        </is>
      </c>
      <c r="L190" s="6" t="inlineStr">
        <is>
          <t>38</t>
        </is>
      </c>
      <c r="M190" s="6" t="n">
        <v/>
      </c>
      <c r="N190" s="6" t="inlineStr">
        <is>
          <t>45</t>
        </is>
      </c>
      <c r="O190" s="6" t="inlineStr">
        <is>
          <t>J-D19</t>
        </is>
      </c>
      <c r="P190" s="6" t="inlineStr">
        <is>
          <t>Ypsilanti</t>
        </is>
      </c>
      <c r="Q190" s="6" t="inlineStr">
        <is>
          <t>1649 South Huron Street, Ypsilanti, Michigan, 48197</t>
        </is>
      </c>
      <c r="R190" s="6" t="inlineStr"/>
      <c r="S190" s="6" t="inlineStr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</row>
    <row r="191">
      <c r="A191" s="6" t="inlineStr">
        <is>
          <t>WELLHEALTH MEDICAL ASSOCIATES - Belleville</t>
        </is>
      </c>
      <c r="B191" s="6" t="inlineStr">
        <is>
          <t>d7ce8ce4-2911-40e6-b7cb-e9f92a081d8b</t>
        </is>
      </c>
      <c r="C191" s="6" t="inlineStr">
        <is>
          <t>Pain</t>
        </is>
      </c>
      <c r="D191" s="6" t="inlineStr">
        <is>
          <t>Prospect</t>
        </is>
      </c>
      <c r="E191" s="6" t="inlineStr">
        <is>
          <t>Visit / Prospect</t>
        </is>
      </c>
      <c r="F191" s="6" t="n">
        <v>10</v>
      </c>
      <c r="G191" s="6" t="n">
        <v>0</v>
      </c>
      <c r="H191" s="6" t="inlineStr">
        <is>
          <t>0</t>
        </is>
      </c>
      <c r="I191" s="6" t="inlineStr">
        <is>
          <t>0</t>
        </is>
      </c>
      <c r="J191" s="6" t="inlineStr"/>
      <c r="K191" s="6" t="inlineStr">
        <is>
          <t>2026-05-28</t>
        </is>
      </c>
      <c r="L191" s="6" t="inlineStr">
        <is>
          <t>49</t>
        </is>
      </c>
      <c r="M191" s="6" t="n">
        <v/>
      </c>
      <c r="N191" s="6" t="inlineStr">
        <is>
          <t>45</t>
        </is>
      </c>
      <c r="O191" s="6" t="inlineStr">
        <is>
          <t>J-D19</t>
        </is>
      </c>
      <c r="P191" s="6" t="inlineStr">
        <is>
          <t>BELLEVILLE</t>
        </is>
      </c>
      <c r="Q191" s="6" t="inlineStr">
        <is>
          <t>265 main st, BELLEVILLE, Michigan, 48111</t>
        </is>
      </c>
      <c r="R191" s="6" t="inlineStr"/>
      <c r="S191" s="6" t="inlineStr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</row>
    <row r="192">
      <c r="A192" s="6" t="inlineStr">
        <is>
          <t>Rivi Medical Associates</t>
        </is>
      </c>
      <c r="B192" s="6" t="inlineStr">
        <is>
          <t>9f4c3f2a-ecc2-4050-b43c-d7c1d8f26b1d</t>
        </is>
      </c>
      <c r="C192" s="6" t="inlineStr">
        <is>
          <t>PCP</t>
        </is>
      </c>
      <c r="D192" s="6" t="inlineStr">
        <is>
          <t>Prospect</t>
        </is>
      </c>
      <c r="E192" s="6" t="inlineStr">
        <is>
          <t>Visit / Prospect</t>
        </is>
      </c>
      <c r="F192" s="6" t="n">
        <v>10</v>
      </c>
      <c r="G192" s="6" t="n">
        <v>0</v>
      </c>
      <c r="H192" s="6" t="inlineStr">
        <is>
          <t>0</t>
        </is>
      </c>
      <c r="I192" s="6" t="inlineStr">
        <is>
          <t>0</t>
        </is>
      </c>
      <c r="J192" s="6" t="inlineStr"/>
      <c r="K192" s="6" t="inlineStr">
        <is>
          <t>2026-06-23</t>
        </is>
      </c>
      <c r="L192" s="6" t="inlineStr">
        <is>
          <t>23</t>
        </is>
      </c>
      <c r="M192" s="6" t="n">
        <v/>
      </c>
      <c r="N192" s="6" t="inlineStr">
        <is>
          <t>45</t>
        </is>
      </c>
      <c r="O192" s="6" t="inlineStr">
        <is>
          <t>J-D20</t>
        </is>
      </c>
      <c r="P192" s="6" t="inlineStr">
        <is>
          <t>Novi</t>
        </is>
      </c>
      <c r="Q192" s="6" t="inlineStr">
        <is>
          <t>26850 Providence Parkway Ste 420, Novi, Michigan, 48374</t>
        </is>
      </c>
      <c r="R192" s="6" t="inlineStr"/>
      <c r="S192" s="6" t="inlineStr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</row>
    <row r="193">
      <c r="A193" s="6" t="inlineStr">
        <is>
          <t>Providence Internal Medicine, Diabetes/Endocrinology</t>
        </is>
      </c>
      <c r="B193" s="6" t="inlineStr">
        <is>
          <t>ac92f742-7400-4def-bf3c-399c79028ae0</t>
        </is>
      </c>
      <c r="C193" s="6" t="inlineStr">
        <is>
          <t>PCP</t>
        </is>
      </c>
      <c r="D193" s="6" t="inlineStr">
        <is>
          <t>Prospect</t>
        </is>
      </c>
      <c r="E193" s="6" t="inlineStr">
        <is>
          <t>Visit / Prospect</t>
        </is>
      </c>
      <c r="F193" s="6" t="n">
        <v>10</v>
      </c>
      <c r="G193" s="6" t="n">
        <v>0</v>
      </c>
      <c r="H193" s="6" t="inlineStr">
        <is>
          <t>0</t>
        </is>
      </c>
      <c r="I193" s="6" t="inlineStr">
        <is>
          <t>0</t>
        </is>
      </c>
      <c r="J193" s="6" t="inlineStr"/>
      <c r="K193" s="6" t="inlineStr">
        <is>
          <t>2026-07-10</t>
        </is>
      </c>
      <c r="L193" s="6" t="inlineStr">
        <is>
          <t>6</t>
        </is>
      </c>
      <c r="M193" s="6" t="n">
        <v/>
      </c>
      <c r="N193" s="6" t="inlineStr">
        <is>
          <t>45</t>
        </is>
      </c>
      <c r="O193" s="6" t="inlineStr">
        <is>
          <t>J-D20</t>
        </is>
      </c>
      <c r="P193" s="6" t="inlineStr">
        <is>
          <t>NOVI</t>
        </is>
      </c>
      <c r="Q193" s="6" t="inlineStr">
        <is>
          <t>47601 GRAND RIVER AVE STE A218, NOVI, Michigan, 48374</t>
        </is>
      </c>
      <c r="R193" s="6" t="inlineStr"/>
      <c r="S193" s="6" t="inlineStr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</row>
    <row r="194">
      <c r="A194" s="6" t="inlineStr">
        <is>
          <t>BEAUMONT URGENT CARE BY WELLSTREET</t>
        </is>
      </c>
      <c r="B194" s="6" t="inlineStr">
        <is>
          <t>b2c0e41e-9b4b-4e68-9a9a-20a7837dbbd6</t>
        </is>
      </c>
      <c r="C194" s="6" t="inlineStr">
        <is>
          <t>Orthopedic</t>
        </is>
      </c>
      <c r="D194" s="6" t="inlineStr">
        <is>
          <t>Prospect</t>
        </is>
      </c>
      <c r="E194" s="6" t="inlineStr">
        <is>
          <t>Visit / Prospect</t>
        </is>
      </c>
      <c r="F194" s="6" t="n">
        <v>10</v>
      </c>
      <c r="G194" s="6" t="n">
        <v>0</v>
      </c>
      <c r="H194" s="6" t="inlineStr">
        <is>
          <t>0</t>
        </is>
      </c>
      <c r="I194" s="6" t="inlineStr">
        <is>
          <t>0</t>
        </is>
      </c>
      <c r="J194" s="6" t="inlineStr"/>
      <c r="K194" s="6" t="inlineStr">
        <is>
          <t>2026-06-11</t>
        </is>
      </c>
      <c r="L194" s="6" t="inlineStr">
        <is>
          <t>35</t>
        </is>
      </c>
      <c r="M194" s="6" t="n">
        <v/>
      </c>
      <c r="N194" s="6" t="inlineStr">
        <is>
          <t>45</t>
        </is>
      </c>
      <c r="O194" s="6" t="inlineStr">
        <is>
          <t>J-D21</t>
        </is>
      </c>
      <c r="P194" s="6" t="inlineStr">
        <is>
          <t>Dearborn</t>
        </is>
      </c>
      <c r="Q194" s="6" t="inlineStr">
        <is>
          <t>23100 Michigan Avenue, Dearborn, Michigan, 48124</t>
        </is>
      </c>
      <c r="R194" s="6" t="inlineStr"/>
      <c r="S194" s="6" t="inlineStr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</row>
    <row r="195">
      <c r="A195" s="6" t="inlineStr">
        <is>
          <t>FORD TEL MEDICAL CENTER</t>
        </is>
      </c>
      <c r="B195" s="6" t="inlineStr">
        <is>
          <t>198ce2f6-b94a-4ad3-b397-e6c1148f1644</t>
        </is>
      </c>
      <c r="C195" s="6" t="inlineStr">
        <is>
          <t>Orthopedic</t>
        </is>
      </c>
      <c r="D195" s="6" t="inlineStr">
        <is>
          <t>Prospect</t>
        </is>
      </c>
      <c r="E195" s="6" t="inlineStr">
        <is>
          <t>Visit / Prospect</t>
        </is>
      </c>
      <c r="F195" s="6" t="n">
        <v>10</v>
      </c>
      <c r="G195" s="6" t="n">
        <v>0</v>
      </c>
      <c r="H195" s="6" t="inlineStr">
        <is>
          <t>0</t>
        </is>
      </c>
      <c r="I195" s="6" t="inlineStr">
        <is>
          <t>0</t>
        </is>
      </c>
      <c r="J195" s="6" t="inlineStr"/>
      <c r="K195" s="6" t="inlineStr">
        <is>
          <t>2026-06-17</t>
        </is>
      </c>
      <c r="L195" s="6" t="inlineStr">
        <is>
          <t>29</t>
        </is>
      </c>
      <c r="M195" s="6" t="n">
        <v/>
      </c>
      <c r="N195" s="6" t="inlineStr">
        <is>
          <t>45</t>
        </is>
      </c>
      <c r="O195" s="6" t="inlineStr">
        <is>
          <t>J-D21</t>
        </is>
      </c>
      <c r="P195" s="6" t="inlineStr">
        <is>
          <t>Dearborn Heights</t>
        </is>
      </c>
      <c r="Q195" s="6" t="inlineStr">
        <is>
          <t>23800 Ford Rd, Dearborn Heights, Michigan, 48127</t>
        </is>
      </c>
      <c r="R195" s="6" t="inlineStr"/>
      <c r="S195" s="6" t="inlineStr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</row>
    <row r="196">
      <c r="A196" s="6" t="inlineStr">
        <is>
          <t>Plymouth urgent care walk-in clinic</t>
        </is>
      </c>
      <c r="B196" s="6" t="inlineStr">
        <is>
          <t>8c60e9e4-e4af-426d-912d-3340bea956f4</t>
        </is>
      </c>
      <c r="C196" s="6" t="inlineStr">
        <is>
          <t>Orthopedic</t>
        </is>
      </c>
      <c r="D196" s="6" t="inlineStr">
        <is>
          <t>Prospect</t>
        </is>
      </c>
      <c r="E196" s="6" t="inlineStr">
        <is>
          <t>Visit / Prospect</t>
        </is>
      </c>
      <c r="F196" s="6" t="n">
        <v>10</v>
      </c>
      <c r="G196" s="6" t="n">
        <v>0</v>
      </c>
      <c r="H196" s="6" t="inlineStr">
        <is>
          <t>0</t>
        </is>
      </c>
      <c r="I196" s="6" t="inlineStr">
        <is>
          <t>0</t>
        </is>
      </c>
      <c r="J196" s="6" t="inlineStr"/>
      <c r="K196" s="6" t="inlineStr">
        <is>
          <t>2026-07-13</t>
        </is>
      </c>
      <c r="L196" s="6" t="inlineStr">
        <is>
          <t>3</t>
        </is>
      </c>
      <c r="M196" s="6" t="n">
        <v/>
      </c>
      <c r="N196" s="6" t="inlineStr">
        <is>
          <t>45</t>
        </is>
      </c>
      <c r="O196" s="6" t="inlineStr">
        <is>
          <t>J-D23</t>
        </is>
      </c>
      <c r="P196" s="6" t="inlineStr">
        <is>
          <t>Plymouth</t>
        </is>
      </c>
      <c r="Q196" s="6" t="inlineStr">
        <is>
          <t>1498 South Sheldon Road, Plymouth, Michigan, 48170</t>
        </is>
      </c>
      <c r="R196" s="6" t="inlineStr"/>
      <c r="S196" s="6" t="inlineStr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</row>
    <row r="197">
      <c r="A197" s="6" t="inlineStr">
        <is>
          <t>MICHIGAN INSTITUTE OF MEDICINE</t>
        </is>
      </c>
      <c r="B197" s="6" t="inlineStr">
        <is>
          <t>80b855ee-7158-489b-b2a0-a7cff1ba0f26</t>
        </is>
      </c>
      <c r="C197" s="6" t="inlineStr">
        <is>
          <t>PCP</t>
        </is>
      </c>
      <c r="D197" s="6" t="inlineStr">
        <is>
          <t>Prospect</t>
        </is>
      </c>
      <c r="E197" s="6" t="inlineStr">
        <is>
          <t>Visit / Prospect</t>
        </is>
      </c>
      <c r="F197" s="6" t="n">
        <v>10</v>
      </c>
      <c r="G197" s="6" t="n">
        <v>0</v>
      </c>
      <c r="H197" s="6" t="inlineStr">
        <is>
          <t>0</t>
        </is>
      </c>
      <c r="I197" s="6" t="inlineStr">
        <is>
          <t>0</t>
        </is>
      </c>
      <c r="J197" s="6" t="inlineStr"/>
      <c r="K197" s="6" t="inlineStr">
        <is>
          <t>2026-07-09</t>
        </is>
      </c>
      <c r="L197" s="6" t="inlineStr">
        <is>
          <t>7</t>
        </is>
      </c>
      <c r="M197" s="6" t="n">
        <v/>
      </c>
      <c r="N197" s="6" t="inlineStr">
        <is>
          <t>45</t>
        </is>
      </c>
      <c r="O197" s="6" t="inlineStr">
        <is>
          <t>J-D25</t>
        </is>
      </c>
      <c r="P197" s="6" t="inlineStr">
        <is>
          <t>LIVONIA</t>
        </is>
      </c>
      <c r="Q197" s="6" t="inlineStr">
        <is>
          <t>38525 8 MILE RD, LIVONIA, MI, 48152</t>
        </is>
      </c>
      <c r="R197" s="6" t="inlineStr"/>
      <c r="S197" s="6" t="inlineStr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</row>
    <row r="198">
      <c r="A198" s="6" t="inlineStr">
        <is>
          <t>Henry Ford employer solutions</t>
        </is>
      </c>
      <c r="B198" s="6" t="inlineStr">
        <is>
          <t>c5d07e1d-3c78-4555-8838-bc01177d5016</t>
        </is>
      </c>
      <c r="C198" s="6" t="inlineStr">
        <is>
          <t>PCP</t>
        </is>
      </c>
      <c r="D198" s="6" t="inlineStr">
        <is>
          <t>Prospect</t>
        </is>
      </c>
      <c r="E198" s="6" t="inlineStr">
        <is>
          <t>Visit / Prospect</t>
        </is>
      </c>
      <c r="F198" s="6" t="n">
        <v>10</v>
      </c>
      <c r="G198" s="6" t="n">
        <v>0</v>
      </c>
      <c r="H198" s="6" t="inlineStr">
        <is>
          <t>0</t>
        </is>
      </c>
      <c r="I198" s="6" t="inlineStr">
        <is>
          <t>0</t>
        </is>
      </c>
      <c r="J198" s="6" t="inlineStr"/>
      <c r="K198" s="6" t="inlineStr">
        <is>
          <t>2026-06-19</t>
        </is>
      </c>
      <c r="L198" s="6" t="inlineStr">
        <is>
          <t>27</t>
        </is>
      </c>
      <c r="M198" s="6" t="n">
        <v/>
      </c>
      <c r="N198" s="6" t="inlineStr">
        <is>
          <t>45</t>
        </is>
      </c>
      <c r="O198" s="6" t="inlineStr">
        <is>
          <t>J-D25</t>
        </is>
      </c>
      <c r="P198" s="6" t="inlineStr">
        <is>
          <t>Livonia</t>
        </is>
      </c>
      <c r="Q198" s="6" t="inlineStr">
        <is>
          <t>37595 7 Mile, Livonia, Michigan, 48152</t>
        </is>
      </c>
      <c r="R198" s="6" t="inlineStr"/>
      <c r="S198" s="6" t="inlineStr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</row>
    <row r="199">
      <c r="A199" s="6" t="inlineStr">
        <is>
          <t>Trinity health urgent care – EMU</t>
        </is>
      </c>
      <c r="B199" s="6" t="inlineStr">
        <is>
          <t>e50a83c0-3329-4005-a3b4-542b402bb061</t>
        </is>
      </c>
      <c r="C199" s="6" t="inlineStr">
        <is>
          <t>Urgent Care</t>
        </is>
      </c>
      <c r="D199" s="6" t="inlineStr">
        <is>
          <t>Prospect</t>
        </is>
      </c>
      <c r="E199" s="6" t="inlineStr">
        <is>
          <t>Visit / Prospect</t>
        </is>
      </c>
      <c r="F199" s="6" t="n">
        <v>10</v>
      </c>
      <c r="G199" s="6" t="n">
        <v>0</v>
      </c>
      <c r="H199" s="6" t="inlineStr">
        <is>
          <t>0</t>
        </is>
      </c>
      <c r="I199" s="6" t="inlineStr">
        <is>
          <t>0</t>
        </is>
      </c>
      <c r="J199" s="6" t="inlineStr"/>
      <c r="K199" s="6" t="inlineStr">
        <is>
          <t>2026-07-13</t>
        </is>
      </c>
      <c r="L199" s="6" t="inlineStr">
        <is>
          <t>3</t>
        </is>
      </c>
      <c r="M199" s="6" t="n">
        <v/>
      </c>
      <c r="N199" s="6" t="inlineStr">
        <is>
          <t>45</t>
        </is>
      </c>
      <c r="O199" s="6" t="inlineStr">
        <is>
          <t>J-D26</t>
        </is>
      </c>
      <c r="P199" s="6" t="inlineStr">
        <is>
          <t>Ypsilanti</t>
        </is>
      </c>
      <c r="Q199" s="6" t="inlineStr">
        <is>
          <t>1075 North Huron River Drive, Ypsilanti, Michigan, 48197</t>
        </is>
      </c>
      <c r="R199" s="6" t="inlineStr"/>
      <c r="S199" s="6" t="inlineStr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</row>
    <row r="200">
      <c r="A200" s="6" t="inlineStr">
        <is>
          <t>Trinity IHA Pediatrics - Arbor Park</t>
        </is>
      </c>
      <c r="B200" s="6" t="inlineStr">
        <is>
          <t>317a195f-f2b0-419b-99a5-152eb78c41cc</t>
        </is>
      </c>
      <c r="C200" s="6" t="inlineStr">
        <is>
          <t>Orthopedic</t>
        </is>
      </c>
      <c r="D200" s="6" t="inlineStr">
        <is>
          <t>Prospect</t>
        </is>
      </c>
      <c r="E200" s="6" t="inlineStr">
        <is>
          <t>Visit / Prospect</t>
        </is>
      </c>
      <c r="F200" s="6" t="n">
        <v>10</v>
      </c>
      <c r="G200" s="6" t="n">
        <v>0</v>
      </c>
      <c r="H200" s="6" t="inlineStr">
        <is>
          <t>0</t>
        </is>
      </c>
      <c r="I200" s="6" t="inlineStr">
        <is>
          <t>0</t>
        </is>
      </c>
      <c r="J200" s="6" t="inlineStr"/>
      <c r="K200" s="6" t="inlineStr">
        <is>
          <t>2026-05-18</t>
        </is>
      </c>
      <c r="L200" s="6" t="inlineStr">
        <is>
          <t>59</t>
        </is>
      </c>
      <c r="M200" s="6" t="n">
        <v/>
      </c>
      <c r="N200" s="6" t="inlineStr">
        <is>
          <t>45</t>
        </is>
      </c>
      <c r="O200" s="6" t="inlineStr">
        <is>
          <t>J-D26</t>
        </is>
      </c>
      <c r="P200" s="6" t="inlineStr">
        <is>
          <t>Ypsilanti</t>
        </is>
      </c>
      <c r="Q200" s="6" t="inlineStr">
        <is>
          <t>4936 Clark Rd suite 101, Ypsilanti, Michigan, 48197</t>
        </is>
      </c>
      <c r="R200" s="6" t="inlineStr"/>
      <c r="S200" s="6" t="inlineStr">
        <is>
          <t>Pediatric (Jul 20 rule) → Review for removal</t>
        </is>
      </c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</row>
    <row r="201">
      <c r="A201" s="6" t="inlineStr">
        <is>
          <t>Trinity health physical therapy</t>
        </is>
      </c>
      <c r="B201" s="6" t="inlineStr">
        <is>
          <t>9d1a5377-d13f-4e0c-a250-5204ae278248</t>
        </is>
      </c>
      <c r="C201" s="6" t="inlineStr">
        <is>
          <t>Orthopedic</t>
        </is>
      </c>
      <c r="D201" s="6" t="inlineStr">
        <is>
          <t>Prospect</t>
        </is>
      </c>
      <c r="E201" s="6" t="inlineStr">
        <is>
          <t>Visit / Prospect</t>
        </is>
      </c>
      <c r="F201" s="6" t="n">
        <v>10</v>
      </c>
      <c r="G201" s="6" t="n">
        <v>0</v>
      </c>
      <c r="H201" s="6" t="inlineStr">
        <is>
          <t>0</t>
        </is>
      </c>
      <c r="I201" s="6" t="inlineStr">
        <is>
          <t>0</t>
        </is>
      </c>
      <c r="J201" s="6" t="inlineStr"/>
      <c r="K201" s="6" t="inlineStr">
        <is>
          <t>2026-05-18</t>
        </is>
      </c>
      <c r="L201" s="6" t="inlineStr">
        <is>
          <t>59</t>
        </is>
      </c>
      <c r="M201" s="6" t="n">
        <v/>
      </c>
      <c r="N201" s="6" t="inlineStr">
        <is>
          <t>45</t>
        </is>
      </c>
      <c r="O201" s="6" t="inlineStr">
        <is>
          <t>J-D26</t>
        </is>
      </c>
      <c r="P201" s="6" t="inlineStr">
        <is>
          <t>Ypsilanti</t>
        </is>
      </c>
      <c r="Q201" s="6" t="inlineStr">
        <is>
          <t>3145 Clark Road Ste 401, Ypsilanti, Michigan, 48197</t>
        </is>
      </c>
      <c r="R201" s="6" t="inlineStr"/>
      <c r="S201" s="6" t="inlineStr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</row>
    <row r="202">
      <c r="A202" s="6" t="inlineStr">
        <is>
          <t>ACADEMIC INTERNAL MEDICINE</t>
        </is>
      </c>
      <c r="B202" s="6" t="inlineStr">
        <is>
          <t>b61f12f1-ac78-4203-876e-78120bd81f47</t>
        </is>
      </c>
      <c r="C202" s="6" t="inlineStr">
        <is>
          <t>Orthopedic</t>
        </is>
      </c>
      <c r="D202" s="6" t="inlineStr">
        <is>
          <t>Prospect</t>
        </is>
      </c>
      <c r="E202" s="6" t="inlineStr">
        <is>
          <t>Visit / Prospect</t>
        </is>
      </c>
      <c r="F202" s="6" t="n">
        <v>10</v>
      </c>
      <c r="G202" s="6" t="n">
        <v>0</v>
      </c>
      <c r="H202" s="6" t="inlineStr">
        <is>
          <t>0</t>
        </is>
      </c>
      <c r="I202" s="6" t="inlineStr">
        <is>
          <t>0</t>
        </is>
      </c>
      <c r="J202" s="6" t="inlineStr"/>
      <c r="K202" s="6" t="inlineStr">
        <is>
          <t>2026-05-18</t>
        </is>
      </c>
      <c r="L202" s="6" t="inlineStr">
        <is>
          <t>59</t>
        </is>
      </c>
      <c r="M202" s="6" t="n">
        <v/>
      </c>
      <c r="N202" s="6" t="inlineStr">
        <is>
          <t>45</t>
        </is>
      </c>
      <c r="O202" s="6" t="inlineStr">
        <is>
          <t>J-D26</t>
        </is>
      </c>
      <c r="P202" s="6" t="inlineStr">
        <is>
          <t>Ypsilanti</t>
        </is>
      </c>
      <c r="Q202" s="6" t="inlineStr">
        <is>
          <t>5333 McAuley Dr, Ypsilanti, Michigan, 48197</t>
        </is>
      </c>
      <c r="R202" s="6" t="inlineStr"/>
      <c r="S202" s="6" t="inlineStr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</row>
    <row r="203">
      <c r="A203" s="6" t="inlineStr">
        <is>
          <t>Internal Medicine Clinic - Taubman Center</t>
        </is>
      </c>
      <c r="B203" s="6" t="inlineStr">
        <is>
          <t>1740379965</t>
        </is>
      </c>
      <c r="C203" s="6" t="inlineStr">
        <is>
          <t>PCP</t>
        </is>
      </c>
      <c r="D203" s="6" t="inlineStr">
        <is>
          <t>Prospect</t>
        </is>
      </c>
      <c r="E203" s="6" t="inlineStr">
        <is>
          <t>Visit / Prospect</t>
        </is>
      </c>
      <c r="F203" s="6" t="n">
        <v>10</v>
      </c>
      <c r="G203" s="6" t="n">
        <v>0</v>
      </c>
      <c r="H203" s="6" t="inlineStr">
        <is>
          <t>0</t>
        </is>
      </c>
      <c r="I203" s="6" t="inlineStr">
        <is>
          <t>0</t>
        </is>
      </c>
      <c r="J203" s="6" t="inlineStr"/>
      <c r="K203" s="6" t="inlineStr">
        <is>
          <t>2026-06-09</t>
        </is>
      </c>
      <c r="L203" s="6" t="inlineStr">
        <is>
          <t>37</t>
        </is>
      </c>
      <c r="M203" s="6" t="n">
        <v/>
      </c>
      <c r="N203" s="6" t="inlineStr">
        <is>
          <t>45</t>
        </is>
      </c>
      <c r="O203" s="6" t="inlineStr">
        <is>
          <t>J-D27</t>
        </is>
      </c>
      <c r="P203" s="6" t="inlineStr">
        <is>
          <t>Ann Arbor</t>
        </is>
      </c>
      <c r="Q203" s="6" t="inlineStr">
        <is>
          <t>1500 East Medical Center Drive, Ann Arbor, Michigan, 481095856</t>
        </is>
      </c>
      <c r="R203" s="6" t="inlineStr"/>
      <c r="S203" s="6" t="inlineStr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</row>
    <row r="204">
      <c r="A204" s="6" t="inlineStr">
        <is>
          <t>Premier Medicine Primary and Urgent Care</t>
        </is>
      </c>
      <c r="B204" s="6" t="inlineStr">
        <is>
          <t>9288d919-ada8-45ca-a122-9e5065f74980</t>
        </is>
      </c>
      <c r="C204" s="6" t="inlineStr">
        <is>
          <t>Urgent Care</t>
        </is>
      </c>
      <c r="D204" s="6" t="inlineStr">
        <is>
          <t>Prospect</t>
        </is>
      </c>
      <c r="E204" s="6" t="inlineStr">
        <is>
          <t>Visit / Prospect</t>
        </is>
      </c>
      <c r="F204" s="6" t="n">
        <v>10</v>
      </c>
      <c r="G204" s="6" t="n">
        <v>0</v>
      </c>
      <c r="H204" s="6" t="inlineStr">
        <is>
          <t>0</t>
        </is>
      </c>
      <c r="I204" s="6" t="inlineStr">
        <is>
          <t>0</t>
        </is>
      </c>
      <c r="J204" s="6" t="inlineStr"/>
      <c r="K204" s="6" t="inlineStr">
        <is>
          <t>2026-07-14</t>
        </is>
      </c>
      <c r="L204" s="6" t="inlineStr">
        <is>
          <t>2</t>
        </is>
      </c>
      <c r="M204" s="6" t="n">
        <v/>
      </c>
      <c r="N204" s="6" t="inlineStr">
        <is>
          <t>45</t>
        </is>
      </c>
      <c r="O204" s="6" t="inlineStr">
        <is>
          <t>J-D29</t>
        </is>
      </c>
      <c r="P204" s="6" t="inlineStr">
        <is>
          <t>Dearborn</t>
        </is>
      </c>
      <c r="Q204" s="6" t="inlineStr">
        <is>
          <t>9550 Dix Ave, Dearborn, Michigan, 48120</t>
        </is>
      </c>
      <c r="R204" s="6" t="inlineStr"/>
      <c r="S204" s="6" t="inlineStr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</row>
    <row r="205">
      <c r="A205" s="6" t="inlineStr">
        <is>
          <t>PRIME CARE MEDICAL CLINIC</t>
        </is>
      </c>
      <c r="B205" s="6" t="inlineStr">
        <is>
          <t>e76c31c1-f930-4f95-9297-051e3644a8fb</t>
        </is>
      </c>
      <c r="C205" s="6" t="inlineStr">
        <is>
          <t>Orthopedic</t>
        </is>
      </c>
      <c r="D205" s="6" t="inlineStr">
        <is>
          <t>Prospect</t>
        </is>
      </c>
      <c r="E205" s="6" t="inlineStr">
        <is>
          <t>Visit / Prospect</t>
        </is>
      </c>
      <c r="F205" s="6" t="n">
        <v>10</v>
      </c>
      <c r="G205" s="6" t="n">
        <v>0</v>
      </c>
      <c r="H205" s="6" t="inlineStr">
        <is>
          <t>0</t>
        </is>
      </c>
      <c r="I205" s="6" t="inlineStr">
        <is>
          <t>0</t>
        </is>
      </c>
      <c r="J205" s="6" t="inlineStr"/>
      <c r="K205" s="6" t="inlineStr">
        <is>
          <t>2026-04-30</t>
        </is>
      </c>
      <c r="L205" s="6" t="inlineStr">
        <is>
          <t>77</t>
        </is>
      </c>
      <c r="M205" s="6" t="n">
        <v/>
      </c>
      <c r="N205" s="6" t="inlineStr">
        <is>
          <t>45</t>
        </is>
      </c>
      <c r="O205" s="6" t="inlineStr">
        <is>
          <t>J-D29</t>
        </is>
      </c>
      <c r="P205" s="6" t="inlineStr">
        <is>
          <t>Dearborn</t>
        </is>
      </c>
      <c r="Q205" s="6" t="inlineStr">
        <is>
          <t>5728 Schaefer Road, Dearborn, Michigan, 48126</t>
        </is>
      </c>
      <c r="R205" s="6" t="inlineStr"/>
      <c r="S205" s="6" t="inlineStr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</row>
    <row r="206">
      <c r="A206" s="6" t="inlineStr">
        <is>
          <t>PULSE PRIMARY/SENIOR CARE</t>
        </is>
      </c>
      <c r="B206" s="6" t="inlineStr">
        <is>
          <t>895c7647-6ae1-4d8c-af49-0939435b01c6</t>
        </is>
      </c>
      <c r="C206" s="6" t="inlineStr">
        <is>
          <t>PCP</t>
        </is>
      </c>
      <c r="D206" s="6" t="inlineStr">
        <is>
          <t>Prospect</t>
        </is>
      </c>
      <c r="E206" s="6" t="inlineStr">
        <is>
          <t>Visit / Prospect</t>
        </is>
      </c>
      <c r="F206" s="6" t="n">
        <v>10</v>
      </c>
      <c r="G206" s="6" t="n">
        <v>0</v>
      </c>
      <c r="H206" s="6" t="inlineStr">
        <is>
          <t>0</t>
        </is>
      </c>
      <c r="I206" s="6" t="inlineStr">
        <is>
          <t>0</t>
        </is>
      </c>
      <c r="J206" s="6" t="inlineStr"/>
      <c r="K206" s="6" t="inlineStr">
        <is>
          <t>2026-07-14</t>
        </is>
      </c>
      <c r="L206" s="6" t="inlineStr">
        <is>
          <t>2</t>
        </is>
      </c>
      <c r="M206" s="6" t="n">
        <v/>
      </c>
      <c r="N206" s="6" t="inlineStr">
        <is>
          <t>45</t>
        </is>
      </c>
      <c r="O206" s="6" t="inlineStr">
        <is>
          <t>J-D29</t>
        </is>
      </c>
      <c r="P206" s="6" t="inlineStr">
        <is>
          <t>Dearborn</t>
        </is>
      </c>
      <c r="Q206" s="6" t="inlineStr">
        <is>
          <t>15400 Michigan Ave, Dearborn, Michigan, 48126</t>
        </is>
      </c>
      <c r="R206" s="6" t="inlineStr"/>
      <c r="S206" s="6" t="inlineStr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</row>
    <row r="207">
      <c r="A207" s="6" t="inlineStr">
        <is>
          <t>Bio Energy Medical Center</t>
        </is>
      </c>
      <c r="B207" s="6" t="inlineStr">
        <is>
          <t>b578c6ec-ac47-46b9-88e7-e67e8a0cc843</t>
        </is>
      </c>
      <c r="C207" s="6" t="inlineStr">
        <is>
          <t>PCP</t>
        </is>
      </c>
      <c r="D207" s="6" t="inlineStr">
        <is>
          <t>Prospect</t>
        </is>
      </c>
      <c r="E207" s="6" t="inlineStr">
        <is>
          <t>Visit / Prospect</t>
        </is>
      </c>
      <c r="F207" s="6" t="n">
        <v>10</v>
      </c>
      <c r="G207" s="6" t="n">
        <v>0</v>
      </c>
      <c r="H207" s="6" t="inlineStr">
        <is>
          <t>0</t>
        </is>
      </c>
      <c r="I207" s="6" t="inlineStr">
        <is>
          <t>0</t>
        </is>
      </c>
      <c r="J207" s="6" t="inlineStr"/>
      <c r="K207" s="6" t="inlineStr">
        <is>
          <t>2026-07-06</t>
        </is>
      </c>
      <c r="L207" s="6" t="inlineStr">
        <is>
          <t>10</t>
        </is>
      </c>
      <c r="M207" s="6" t="n">
        <v/>
      </c>
      <c r="N207" s="6" t="inlineStr">
        <is>
          <t>45</t>
        </is>
      </c>
      <c r="O207" s="6" t="inlineStr">
        <is>
          <t>J-D30</t>
        </is>
      </c>
      <c r="P207" s="6" t="inlineStr">
        <is>
          <t>Ann Arbor</t>
        </is>
      </c>
      <c r="Q207" s="6" t="inlineStr">
        <is>
          <t>4201 Varsity Dr suite a, Ann Arbor, Michigan, 48108</t>
        </is>
      </c>
      <c r="R207" s="6" t="inlineStr"/>
      <c r="S207" s="6" t="inlineStr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</row>
    <row r="208">
      <c r="A208" s="6" t="inlineStr">
        <is>
          <t>Packard Health - Ann Arbor</t>
        </is>
      </c>
      <c r="B208" s="6" t="inlineStr">
        <is>
          <t>4cfeb212-d64b-45e7-9946-7ac903b306ac</t>
        </is>
      </c>
      <c r="C208" s="6" t="inlineStr">
        <is>
          <t>PCP</t>
        </is>
      </c>
      <c r="D208" s="6" t="inlineStr">
        <is>
          <t>Prospect</t>
        </is>
      </c>
      <c r="E208" s="6" t="inlineStr">
        <is>
          <t>Visit / Prospect</t>
        </is>
      </c>
      <c r="F208" s="6" t="n">
        <v>10</v>
      </c>
      <c r="G208" s="6" t="n">
        <v>0</v>
      </c>
      <c r="H208" s="6" t="inlineStr">
        <is>
          <t>0</t>
        </is>
      </c>
      <c r="I208" s="6" t="inlineStr">
        <is>
          <t>0</t>
        </is>
      </c>
      <c r="J208" s="6" t="inlineStr"/>
      <c r="K208" s="6" t="inlineStr">
        <is>
          <t>2026-06-30</t>
        </is>
      </c>
      <c r="L208" s="6" t="inlineStr">
        <is>
          <t>16</t>
        </is>
      </c>
      <c r="M208" s="6" t="n">
        <v/>
      </c>
      <c r="N208" s="6" t="inlineStr">
        <is>
          <t>45</t>
        </is>
      </c>
      <c r="O208" s="6" t="inlineStr">
        <is>
          <t>J-D30</t>
        </is>
      </c>
      <c r="P208" s="6" t="inlineStr">
        <is>
          <t>Ann Arbor</t>
        </is>
      </c>
      <c r="Q208" s="6" t="inlineStr">
        <is>
          <t>2650 Carpenter Rd, Ann Arbor, Michigan, 48108</t>
        </is>
      </c>
      <c r="R208" s="6" t="inlineStr"/>
      <c r="S208" s="6" t="inlineStr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</row>
    <row r="209">
      <c r="A209" s="6" t="inlineStr">
        <is>
          <t>Michigan urgent care</t>
        </is>
      </c>
      <c r="B209" s="6" t="inlineStr">
        <is>
          <t>869d9f30-d3c6-486c-974d-dd85b1d93065</t>
        </is>
      </c>
      <c r="C209" s="6" t="inlineStr">
        <is>
          <t>Urgent Care</t>
        </is>
      </c>
      <c r="D209" s="6" t="inlineStr">
        <is>
          <t>Prospect</t>
        </is>
      </c>
      <c r="E209" s="6" t="inlineStr">
        <is>
          <t>Visit / Prospect</t>
        </is>
      </c>
      <c r="F209" s="6" t="n">
        <v>10</v>
      </c>
      <c r="G209" s="6" t="n">
        <v>0</v>
      </c>
      <c r="H209" s="6" t="inlineStr">
        <is>
          <t>0</t>
        </is>
      </c>
      <c r="I209" s="6" t="inlineStr">
        <is>
          <t>0</t>
        </is>
      </c>
      <c r="J209" s="6" t="inlineStr"/>
      <c r="K209" s="6" t="inlineStr">
        <is>
          <t>2026-06-11</t>
        </is>
      </c>
      <c r="L209" s="6" t="inlineStr">
        <is>
          <t>35</t>
        </is>
      </c>
      <c r="M209" s="6" t="n">
        <v/>
      </c>
      <c r="N209" s="6" t="inlineStr">
        <is>
          <t>45</t>
        </is>
      </c>
      <c r="O209" s="6" t="inlineStr">
        <is>
          <t>J-D30</t>
        </is>
      </c>
      <c r="P209" s="6" t="inlineStr">
        <is>
          <t>Ann Arbor</t>
        </is>
      </c>
      <c r="Q209" s="6" t="inlineStr">
        <is>
          <t>3262 Washtenaw Avenue, Ann Arbor, Michigan, 48104</t>
        </is>
      </c>
      <c r="R209" s="6" t="inlineStr"/>
      <c r="S209" s="6" t="inlineStr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</row>
    <row r="210">
      <c r="A210" s="6" t="inlineStr">
        <is>
          <t>Taylor walk-in clinic</t>
        </is>
      </c>
      <c r="B210" s="6" t="inlineStr">
        <is>
          <t>a42a04f1-cc44-4398-a98b-e7d51622a415</t>
        </is>
      </c>
      <c r="C210" s="6" t="inlineStr">
        <is>
          <t>Urgent Care</t>
        </is>
      </c>
      <c r="D210" s="6" t="inlineStr">
        <is>
          <t>Prospect</t>
        </is>
      </c>
      <c r="E210" s="6" t="inlineStr">
        <is>
          <t>Visit / Prospect</t>
        </is>
      </c>
      <c r="F210" s="6" t="n">
        <v>10</v>
      </c>
      <c r="G210" s="6" t="n">
        <v>0</v>
      </c>
      <c r="H210" s="6" t="inlineStr">
        <is>
          <t>0</t>
        </is>
      </c>
      <c r="I210" s="6" t="inlineStr">
        <is>
          <t>0</t>
        </is>
      </c>
      <c r="J210" s="6" t="inlineStr"/>
      <c r="K210" s="6" t="inlineStr">
        <is>
          <t>2026-06-29</t>
        </is>
      </c>
      <c r="L210" s="6" t="inlineStr">
        <is>
          <t>17</t>
        </is>
      </c>
      <c r="M210" s="6" t="n">
        <v/>
      </c>
      <c r="N210" s="6" t="inlineStr">
        <is>
          <t>45</t>
        </is>
      </c>
      <c r="O210" s="6" t="inlineStr">
        <is>
          <t>J-D31</t>
        </is>
      </c>
      <c r="P210" s="6" t="inlineStr">
        <is>
          <t>Taylor</t>
        </is>
      </c>
      <c r="Q210" s="6" t="inlineStr">
        <is>
          <t>23234 Ecorse Road, Taylor, Michigan, 48180</t>
        </is>
      </c>
      <c r="R210" s="6" t="inlineStr"/>
      <c r="S210" s="6" t="inlineStr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</row>
    <row r="211">
      <c r="A211" s="6" t="inlineStr">
        <is>
          <t>Trupti Patel</t>
        </is>
      </c>
      <c r="B211" s="6" t="inlineStr">
        <is>
          <t>3973438b-a43c-4f5a-ab50-a4d96ed39952</t>
        </is>
      </c>
      <c r="C211" s="6" t="inlineStr">
        <is>
          <t>PCP</t>
        </is>
      </c>
      <c r="D211" s="6" t="inlineStr">
        <is>
          <t>Prospect</t>
        </is>
      </c>
      <c r="E211" s="6" t="inlineStr">
        <is>
          <t>Visit / Prospect</t>
        </is>
      </c>
      <c r="F211" s="6" t="n">
        <v>9</v>
      </c>
      <c r="G211" s="6" t="n">
        <v>0</v>
      </c>
      <c r="H211" s="6" t="inlineStr">
        <is>
          <t>0</t>
        </is>
      </c>
      <c r="I211" s="6" t="inlineStr">
        <is>
          <t>0</t>
        </is>
      </c>
      <c r="J211" s="6" t="inlineStr"/>
      <c r="K211" s="6" t="inlineStr">
        <is>
          <t>2026-06-08</t>
        </is>
      </c>
      <c r="L211" s="6" t="inlineStr">
        <is>
          <t>38</t>
        </is>
      </c>
      <c r="M211" s="6" t="n">
        <v/>
      </c>
      <c r="N211" s="6" t="inlineStr">
        <is>
          <t>45</t>
        </is>
      </c>
      <c r="O211" s="6" t="inlineStr">
        <is>
          <t>J-D01</t>
        </is>
      </c>
      <c r="P211" s="6" t="inlineStr">
        <is>
          <t>Westland</t>
        </is>
      </c>
      <c r="Q211" s="6" t="inlineStr">
        <is>
          <t>33200 Warren Rd, Westland, Michigan, 48185</t>
        </is>
      </c>
      <c r="R211" s="6" t="inlineStr"/>
      <c r="S211" s="6" t="inlineStr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</row>
    <row r="212">
      <c r="A212" s="6" t="inlineStr">
        <is>
          <t>Meridian Rehab</t>
        </is>
      </c>
      <c r="B212" s="6" t="inlineStr">
        <is>
          <t>c6b60636-41b7-4269-a81a-74ef98d29520</t>
        </is>
      </c>
      <c r="C212" s="6" t="inlineStr">
        <is>
          <t>PT</t>
        </is>
      </c>
      <c r="D212" s="6" t="inlineStr">
        <is>
          <t>Prospect</t>
        </is>
      </c>
      <c r="E212" s="6" t="inlineStr">
        <is>
          <t>Visit / Prospect</t>
        </is>
      </c>
      <c r="F212" s="6" t="n">
        <v>9</v>
      </c>
      <c r="G212" s="6" t="n">
        <v>0</v>
      </c>
      <c r="H212" s="6" t="inlineStr">
        <is>
          <t>0</t>
        </is>
      </c>
      <c r="I212" s="6" t="inlineStr">
        <is>
          <t>0</t>
        </is>
      </c>
      <c r="J212" s="6" t="inlineStr"/>
      <c r="K212" s="6" t="inlineStr">
        <is>
          <t>2026-06-15</t>
        </is>
      </c>
      <c r="L212" s="6" t="inlineStr">
        <is>
          <t>31</t>
        </is>
      </c>
      <c r="M212" s="6" t="n">
        <v/>
      </c>
      <c r="N212" s="6" t="inlineStr">
        <is>
          <t>45</t>
        </is>
      </c>
      <c r="O212" s="6" t="inlineStr">
        <is>
          <t>J-D02</t>
        </is>
      </c>
      <c r="P212" s="6" t="inlineStr">
        <is>
          <t>Garden City</t>
        </is>
      </c>
      <c r="Q212" s="6" t="inlineStr">
        <is>
          <t>2020 Middlebelt Road, Garden City, Michigan, 48135</t>
        </is>
      </c>
      <c r="R212" s="6" t="inlineStr"/>
      <c r="S212" s="6" t="inlineStr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</row>
    <row r="213">
      <c r="A213" s="6" t="inlineStr">
        <is>
          <t>Kris Warszawski MD - MHP</t>
        </is>
      </c>
      <c r="B213" s="6" t="inlineStr">
        <is>
          <t>7397c30d-fc05-4212-aa03-e8cf2d7efabe</t>
        </is>
      </c>
      <c r="C213" s="6" t="inlineStr">
        <is>
          <t>PCP</t>
        </is>
      </c>
      <c r="D213" s="6" t="inlineStr">
        <is>
          <t>Prospect</t>
        </is>
      </c>
      <c r="E213" s="6" t="inlineStr">
        <is>
          <t>Visit / Prospect</t>
        </is>
      </c>
      <c r="F213" s="6" t="n">
        <v>9</v>
      </c>
      <c r="G213" s="6" t="n">
        <v>0</v>
      </c>
      <c r="H213" s="6" t="inlineStr">
        <is>
          <t>0</t>
        </is>
      </c>
      <c r="I213" s="6" t="inlineStr">
        <is>
          <t>0</t>
        </is>
      </c>
      <c r="J213" s="6" t="inlineStr"/>
      <c r="K213" s="6" t="inlineStr">
        <is>
          <t>2026-06-15</t>
        </is>
      </c>
      <c r="L213" s="6" t="inlineStr">
        <is>
          <t>31</t>
        </is>
      </c>
      <c r="M213" s="6" t="n">
        <v/>
      </c>
      <c r="N213" s="6" t="inlineStr">
        <is>
          <t>45</t>
        </is>
      </c>
      <c r="O213" s="6" t="inlineStr">
        <is>
          <t>J-D02</t>
        </is>
      </c>
      <c r="P213" s="6" t="inlineStr">
        <is>
          <t>GARDEN CITY</t>
        </is>
      </c>
      <c r="Q213" s="6" t="inlineStr">
        <is>
          <t>2011 MIDDLEBELT RD, GARDEN CITY, MI, 48135</t>
        </is>
      </c>
      <c r="R213" s="6" t="inlineStr"/>
      <c r="S213" s="6" t="inlineStr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</row>
    <row r="214">
      <c r="A214" s="6" t="inlineStr">
        <is>
          <t>Garden City urgent care/primary care</t>
        </is>
      </c>
      <c r="B214" s="6" t="inlineStr">
        <is>
          <t>83e31e93-d44f-45e6-884d-0e69e15a6b31</t>
        </is>
      </c>
      <c r="C214" s="6" t="inlineStr">
        <is>
          <t>Urgent Care</t>
        </is>
      </c>
      <c r="D214" s="6" t="inlineStr">
        <is>
          <t>Prospect</t>
        </is>
      </c>
      <c r="E214" s="6" t="inlineStr">
        <is>
          <t>Visit / Prospect</t>
        </is>
      </c>
      <c r="F214" s="6" t="n">
        <v>9</v>
      </c>
      <c r="G214" s="6" t="n">
        <v>0</v>
      </c>
      <c r="H214" s="6" t="inlineStr">
        <is>
          <t>0</t>
        </is>
      </c>
      <c r="I214" s="6" t="inlineStr">
        <is>
          <t>0</t>
        </is>
      </c>
      <c r="J214" s="6" t="inlineStr"/>
      <c r="K214" s="6" t="inlineStr">
        <is>
          <t>2026-05-13</t>
        </is>
      </c>
      <c r="L214" s="6" t="inlineStr">
        <is>
          <t>64</t>
        </is>
      </c>
      <c r="M214" s="6" t="n">
        <v/>
      </c>
      <c r="N214" s="6" t="inlineStr">
        <is>
          <t>45</t>
        </is>
      </c>
      <c r="O214" s="6" t="inlineStr">
        <is>
          <t>J-D04</t>
        </is>
      </c>
      <c r="P214" s="6" t="inlineStr">
        <is>
          <t>Garden City</t>
        </is>
      </c>
      <c r="Q214" s="6" t="inlineStr">
        <is>
          <t>28511 Ford Road, Garden City, Michigan, 48135</t>
        </is>
      </c>
      <c r="R214" s="6" t="inlineStr"/>
      <c r="S214" s="6" t="inlineStr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</row>
    <row r="215">
      <c r="A215" s="6" t="inlineStr">
        <is>
          <t>ASSOCIATES IN INTERNAL MEDICINE SPECIALTIES</t>
        </is>
      </c>
      <c r="B215" s="6" t="inlineStr">
        <is>
          <t>f66f38a6-852f-4f1e-bb01-77665ea9274f</t>
        </is>
      </c>
      <c r="C215" s="6" t="inlineStr">
        <is>
          <t>PCP</t>
        </is>
      </c>
      <c r="D215" s="6" t="inlineStr">
        <is>
          <t>Prospect</t>
        </is>
      </c>
      <c r="E215" s="6" t="inlineStr">
        <is>
          <t>Visit / Prospect</t>
        </is>
      </c>
      <c r="F215" s="6" t="n">
        <v>9</v>
      </c>
      <c r="G215" s="6" t="n">
        <v>0</v>
      </c>
      <c r="H215" s="6" t="inlineStr">
        <is>
          <t>0</t>
        </is>
      </c>
      <c r="I215" s="6" t="inlineStr">
        <is>
          <t>0</t>
        </is>
      </c>
      <c r="J215" s="6" t="inlineStr"/>
      <c r="K215" s="6" t="inlineStr">
        <is>
          <t>2026-06-15</t>
        </is>
      </c>
      <c r="L215" s="6" t="inlineStr">
        <is>
          <t>31</t>
        </is>
      </c>
      <c r="M215" s="6" t="n">
        <v/>
      </c>
      <c r="N215" s="6" t="inlineStr">
        <is>
          <t>45</t>
        </is>
      </c>
      <c r="O215" s="6" t="inlineStr">
        <is>
          <t>J-D04</t>
        </is>
      </c>
      <c r="P215" s="6" t="inlineStr">
        <is>
          <t>Garden City</t>
        </is>
      </c>
      <c r="Q215" s="6" t="inlineStr">
        <is>
          <t>6255 Inkster Rd, Garden City, Michigan, 48135</t>
        </is>
      </c>
      <c r="R215" s="6" t="inlineStr"/>
      <c r="S215" s="6" t="inlineStr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</row>
    <row r="216">
      <c r="A216" s="6" t="inlineStr">
        <is>
          <t>Alan Robertson MD</t>
        </is>
      </c>
      <c r="B216" s="6" t="inlineStr">
        <is>
          <t>1972590420</t>
        </is>
      </c>
      <c r="C216" s="6" t="inlineStr">
        <is>
          <t>PCP</t>
        </is>
      </c>
      <c r="D216" s="6" t="inlineStr">
        <is>
          <t>Prospect</t>
        </is>
      </c>
      <c r="E216" s="6" t="inlineStr">
        <is>
          <t>Visit / Prospect</t>
        </is>
      </c>
      <c r="F216" s="6" t="n">
        <v>9</v>
      </c>
      <c r="G216" s="6" t="n">
        <v>0</v>
      </c>
      <c r="H216" s="6" t="inlineStr">
        <is>
          <t>0</t>
        </is>
      </c>
      <c r="I216" s="6" t="inlineStr">
        <is>
          <t>0</t>
        </is>
      </c>
      <c r="J216" s="6" t="inlineStr"/>
      <c r="K216" s="6" t="inlineStr">
        <is>
          <t>2026-05-12</t>
        </is>
      </c>
      <c r="L216" s="6" t="inlineStr">
        <is>
          <t>65</t>
        </is>
      </c>
      <c r="M216" s="6" t="n">
        <v/>
      </c>
      <c r="N216" s="6" t="inlineStr">
        <is>
          <t>45</t>
        </is>
      </c>
      <c r="O216" s="6" t="inlineStr">
        <is>
          <t>J-D05</t>
        </is>
      </c>
      <c r="P216" s="6" t="inlineStr">
        <is>
          <t>Eastpointe</t>
        </is>
      </c>
      <c r="Q216" s="6" t="inlineStr">
        <is>
          <t>17200 E 10 Mile Rd, ste 130, Eastpointe, MI, 480212249</t>
        </is>
      </c>
      <c r="R216" s="6" t="inlineStr"/>
      <c r="S216" s="6" t="inlineStr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</row>
    <row r="217">
      <c r="A217" s="6" t="inlineStr">
        <is>
          <t>Office of Douglas Hames MD</t>
        </is>
      </c>
      <c r="B217" s="6" t="inlineStr">
        <is>
          <t>1457400954</t>
        </is>
      </c>
      <c r="C217" s="6" t="inlineStr">
        <is>
          <t>PCP</t>
        </is>
      </c>
      <c r="D217" s="6" t="inlineStr">
        <is>
          <t>Prospect</t>
        </is>
      </c>
      <c r="E217" s="6" t="inlineStr">
        <is>
          <t>Visit / Prospect</t>
        </is>
      </c>
      <c r="F217" s="6" t="n">
        <v>9</v>
      </c>
      <c r="G217" s="6" t="n">
        <v>0</v>
      </c>
      <c r="H217" s="6" t="inlineStr">
        <is>
          <t>0</t>
        </is>
      </c>
      <c r="I217" s="6" t="inlineStr">
        <is>
          <t>0</t>
        </is>
      </c>
      <c r="J217" s="6" t="inlineStr"/>
      <c r="K217" s="6" t="inlineStr">
        <is>
          <t>2026-05-12</t>
        </is>
      </c>
      <c r="L217" s="6" t="inlineStr">
        <is>
          <t>65</t>
        </is>
      </c>
      <c r="M217" s="6" t="n">
        <v/>
      </c>
      <c r="N217" s="6" t="inlineStr">
        <is>
          <t>45</t>
        </is>
      </c>
      <c r="O217" s="6" t="inlineStr">
        <is>
          <t>J-D05</t>
        </is>
      </c>
      <c r="P217" s="6" t="inlineStr">
        <is>
          <t>Eastpointe</t>
        </is>
      </c>
      <c r="Q217" s="6" t="inlineStr">
        <is>
          <t>22850 Kelly Rd, ste 1, Eastpointe, MI, 48021</t>
        </is>
      </c>
      <c r="R217" s="6" t="inlineStr"/>
      <c r="S217" s="6" t="inlineStr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</row>
    <row r="218">
      <c r="A218" s="6" t="inlineStr">
        <is>
          <t>EPIC - Eastponte</t>
        </is>
      </c>
      <c r="B218" s="6" t="inlineStr">
        <is>
          <t>df6c9c10-8955-4ae0-95a3-7f14af6366cc</t>
        </is>
      </c>
      <c r="C218" s="6" t="inlineStr">
        <is>
          <t>Urgent Care</t>
        </is>
      </c>
      <c r="D218" s="6" t="inlineStr">
        <is>
          <t>Prospect</t>
        </is>
      </c>
      <c r="E218" s="6" t="inlineStr">
        <is>
          <t>Visit / Prospect</t>
        </is>
      </c>
      <c r="F218" s="6" t="n">
        <v>9</v>
      </c>
      <c r="G218" s="6" t="n">
        <v>0</v>
      </c>
      <c r="H218" s="6" t="inlineStr">
        <is>
          <t>0</t>
        </is>
      </c>
      <c r="I218" s="6" t="inlineStr">
        <is>
          <t>0</t>
        </is>
      </c>
      <c r="J218" s="6" t="inlineStr"/>
      <c r="K218" s="6" t="inlineStr">
        <is>
          <t>2026-05-01</t>
        </is>
      </c>
      <c r="L218" s="6" t="inlineStr">
        <is>
          <t>76</t>
        </is>
      </c>
      <c r="M218" s="6" t="n">
        <v/>
      </c>
      <c r="N218" s="6" t="inlineStr">
        <is>
          <t>45</t>
        </is>
      </c>
      <c r="O218" s="6" t="inlineStr">
        <is>
          <t>J-D05</t>
        </is>
      </c>
      <c r="P218" s="6" t="inlineStr">
        <is>
          <t>Eastpointe</t>
        </is>
      </c>
      <c r="Q218" s="6" t="inlineStr">
        <is>
          <t>21501 Kelly Road, Eastpointe, Michigan, 48021</t>
        </is>
      </c>
      <c r="R218" s="6" t="inlineStr"/>
      <c r="S218" s="6" t="inlineStr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</row>
    <row r="219">
      <c r="A219" s="6" t="inlineStr">
        <is>
          <t>Mansour Mercy Medical Center</t>
        </is>
      </c>
      <c r="B219" s="6" t="inlineStr">
        <is>
          <t>1902896608</t>
        </is>
      </c>
      <c r="C219" s="6" t="inlineStr">
        <is>
          <t>PCP</t>
        </is>
      </c>
      <c r="D219" s="6" t="inlineStr">
        <is>
          <t>Prospect</t>
        </is>
      </c>
      <c r="E219" s="6" t="inlineStr">
        <is>
          <t>Visit / Prospect</t>
        </is>
      </c>
      <c r="F219" s="6" t="n">
        <v>9</v>
      </c>
      <c r="G219" s="6" t="n">
        <v>0</v>
      </c>
      <c r="H219" s="6" t="inlineStr">
        <is>
          <t>0</t>
        </is>
      </c>
      <c r="I219" s="6" t="inlineStr">
        <is>
          <t>0</t>
        </is>
      </c>
      <c r="J219" s="6" t="inlineStr"/>
      <c r="K219" s="6" t="inlineStr">
        <is>
          <t>2026-05-01</t>
        </is>
      </c>
      <c r="L219" s="6" t="inlineStr">
        <is>
          <t>76</t>
        </is>
      </c>
      <c r="M219" s="6" t="n">
        <v/>
      </c>
      <c r="N219" s="6" t="inlineStr">
        <is>
          <t>45</t>
        </is>
      </c>
      <c r="O219" s="6" t="inlineStr">
        <is>
          <t>J-D05</t>
        </is>
      </c>
      <c r="P219" s="6" t="inlineStr">
        <is>
          <t>Eastpointe</t>
        </is>
      </c>
      <c r="Q219" s="6" t="inlineStr">
        <is>
          <t>21321 Kelly Rd, ste 100, Eastpointe, Michigan, 48021</t>
        </is>
      </c>
      <c r="R219" s="6" t="inlineStr"/>
      <c r="S219" s="6" t="inlineStr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</row>
    <row r="220">
      <c r="A220" s="6" t="inlineStr">
        <is>
          <t>Wayne state Internal Medicine</t>
        </is>
      </c>
      <c r="B220" s="6" t="inlineStr">
        <is>
          <t>39af8a2b-3c99-4502-805c-10e5627efc9d</t>
        </is>
      </c>
      <c r="C220" s="6" t="inlineStr">
        <is>
          <t>PCP</t>
        </is>
      </c>
      <c r="D220" s="6" t="inlineStr">
        <is>
          <t>Prospect</t>
        </is>
      </c>
      <c r="E220" s="6" t="inlineStr">
        <is>
          <t>Visit / Prospect</t>
        </is>
      </c>
      <c r="F220" s="6" t="n">
        <v>9</v>
      </c>
      <c r="G220" s="6" t="n">
        <v>0</v>
      </c>
      <c r="H220" s="6" t="inlineStr">
        <is>
          <t>0</t>
        </is>
      </c>
      <c r="I220" s="6" t="inlineStr">
        <is>
          <t>0</t>
        </is>
      </c>
      <c r="J220" s="6" t="inlineStr"/>
      <c r="K220" s="6" t="inlineStr">
        <is>
          <t>2026-04-29</t>
        </is>
      </c>
      <c r="L220" s="6" t="inlineStr">
        <is>
          <t>78</t>
        </is>
      </c>
      <c r="M220" s="6" t="n">
        <v/>
      </c>
      <c r="N220" s="6" t="inlineStr">
        <is>
          <t>45</t>
        </is>
      </c>
      <c r="O220" s="6" t="inlineStr">
        <is>
          <t>J-D06</t>
        </is>
      </c>
      <c r="P220" s="6" t="inlineStr">
        <is>
          <t>Detroit</t>
        </is>
      </c>
      <c r="Q220" s="6" t="inlineStr">
        <is>
          <t>4201 St Antoine, Detroit, Michigan, 48201</t>
        </is>
      </c>
      <c r="R220" s="6" t="inlineStr"/>
      <c r="S220" s="6" t="inlineStr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</row>
    <row r="221">
      <c r="A221" s="6" t="inlineStr">
        <is>
          <t>EASTPOINTE URGENT CARE</t>
        </is>
      </c>
      <c r="B221" s="6" t="inlineStr">
        <is>
          <t>e46c966d-2122-4c15-9289-606148887327</t>
        </is>
      </c>
      <c r="C221" s="6" t="inlineStr">
        <is>
          <t>Orthopedic</t>
        </is>
      </c>
      <c r="D221" s="6" t="inlineStr">
        <is>
          <t>Prospect</t>
        </is>
      </c>
      <c r="E221" s="6" t="inlineStr">
        <is>
          <t>Visit / Prospect</t>
        </is>
      </c>
      <c r="F221" s="6" t="n">
        <v>9</v>
      </c>
      <c r="G221" s="6" t="n">
        <v>0</v>
      </c>
      <c r="H221" s="6" t="inlineStr">
        <is>
          <t>0</t>
        </is>
      </c>
      <c r="I221" s="6" t="inlineStr">
        <is>
          <t>0</t>
        </is>
      </c>
      <c r="J221" s="6" t="inlineStr"/>
      <c r="K221" s="6" t="inlineStr">
        <is>
          <t>2026-05-12</t>
        </is>
      </c>
      <c r="L221" s="6" t="inlineStr">
        <is>
          <t>65</t>
        </is>
      </c>
      <c r="M221" s="6" t="n">
        <v/>
      </c>
      <c r="N221" s="6" t="inlineStr">
        <is>
          <t>45</t>
        </is>
      </c>
      <c r="O221" s="6" t="inlineStr">
        <is>
          <t>J-D06</t>
        </is>
      </c>
      <c r="P221" s="6" t="inlineStr">
        <is>
          <t>EASTPOINTE</t>
        </is>
      </c>
      <c r="Q221" s="6" t="inlineStr">
        <is>
          <t>22471 GRATIOT AVE, EASTPOINTE, Michigan</t>
        </is>
      </c>
      <c r="R221" s="6" t="inlineStr"/>
      <c r="S221" s="6" t="inlineStr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</row>
    <row r="222">
      <c r="A222" s="6" t="inlineStr">
        <is>
          <t>ARASH KIARASH, MD, MEDICAL GROUP</t>
        </is>
      </c>
      <c r="B222" s="6" t="inlineStr">
        <is>
          <t>00e2d343-2a6c-4378-900b-c886a064f8a9</t>
        </is>
      </c>
      <c r="C222" s="6" t="inlineStr">
        <is>
          <t>PCP</t>
        </is>
      </c>
      <c r="D222" s="6" t="inlineStr">
        <is>
          <t>Prospect</t>
        </is>
      </c>
      <c r="E222" s="6" t="inlineStr">
        <is>
          <t>Visit / Prospect</t>
        </is>
      </c>
      <c r="F222" s="6" t="n">
        <v>9</v>
      </c>
      <c r="G222" s="6" t="n">
        <v>0</v>
      </c>
      <c r="H222" s="6" t="inlineStr">
        <is>
          <t>0</t>
        </is>
      </c>
      <c r="I222" s="6" t="inlineStr">
        <is>
          <t>0</t>
        </is>
      </c>
      <c r="J222" s="6" t="inlineStr"/>
      <c r="K222" s="6" t="inlineStr">
        <is>
          <t>2026-06-29</t>
        </is>
      </c>
      <c r="L222" s="6" t="inlineStr">
        <is>
          <t>17</t>
        </is>
      </c>
      <c r="M222" s="6" t="n">
        <v/>
      </c>
      <c r="N222" s="6" t="inlineStr">
        <is>
          <t>45</t>
        </is>
      </c>
      <c r="O222" s="6" t="inlineStr">
        <is>
          <t>J-D07</t>
        </is>
      </c>
      <c r="P222" s="6" t="inlineStr">
        <is>
          <t>TAYLOR</t>
        </is>
      </c>
      <c r="Q222" s="6" t="inlineStr">
        <is>
          <t>25500 GODDARD RD, TAYLOR, MI, 48180</t>
        </is>
      </c>
      <c r="R222" s="6" t="inlineStr"/>
      <c r="S222" s="6" t="inlineStr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</row>
    <row r="223">
      <c r="A223" s="6" t="inlineStr">
        <is>
          <t>BEST MEDICAL CENTER</t>
        </is>
      </c>
      <c r="B223" s="6" t="inlineStr">
        <is>
          <t>34c6f1a1-2ced-469c-a53e-e688da73712f</t>
        </is>
      </c>
      <c r="C223" s="6" t="inlineStr">
        <is>
          <t>PCP</t>
        </is>
      </c>
      <c r="D223" s="6" t="inlineStr">
        <is>
          <t>Prospect</t>
        </is>
      </c>
      <c r="E223" s="6" t="inlineStr">
        <is>
          <t>Visit / Prospect</t>
        </is>
      </c>
      <c r="F223" s="6" t="n">
        <v>9</v>
      </c>
      <c r="G223" s="6" t="n">
        <v>0</v>
      </c>
      <c r="H223" s="6" t="inlineStr">
        <is>
          <t>0</t>
        </is>
      </c>
      <c r="I223" s="6" t="inlineStr">
        <is>
          <t>0</t>
        </is>
      </c>
      <c r="J223" s="6" t="inlineStr"/>
      <c r="K223" s="6" t="inlineStr">
        <is>
          <t>2026-06-29</t>
        </is>
      </c>
      <c r="L223" s="6" t="inlineStr">
        <is>
          <t>17</t>
        </is>
      </c>
      <c r="M223" s="6" t="n">
        <v/>
      </c>
      <c r="N223" s="6" t="inlineStr">
        <is>
          <t>45</t>
        </is>
      </c>
      <c r="O223" s="6" t="inlineStr">
        <is>
          <t>J-D07</t>
        </is>
      </c>
      <c r="P223" s="6" t="inlineStr">
        <is>
          <t>Taylor</t>
        </is>
      </c>
      <c r="Q223" s="6" t="inlineStr">
        <is>
          <t>25404 Goddard Road, Taylor, MI, 48180</t>
        </is>
      </c>
      <c r="R223" s="6" t="inlineStr"/>
      <c r="S223" s="6" t="inlineStr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</row>
    <row r="224">
      <c r="A224" s="6" t="inlineStr">
        <is>
          <t>icare urgent care</t>
        </is>
      </c>
      <c r="B224" s="6" t="inlineStr">
        <is>
          <t>940d298e-5798-4b70-b005-21671cc2e86c</t>
        </is>
      </c>
      <c r="C224" s="6" t="inlineStr">
        <is>
          <t>Urgent Care</t>
        </is>
      </c>
      <c r="D224" s="6" t="inlineStr">
        <is>
          <t>Prospect</t>
        </is>
      </c>
      <c r="E224" s="6" t="inlineStr">
        <is>
          <t>Visit / Prospect</t>
        </is>
      </c>
      <c r="F224" s="6" t="n">
        <v>9</v>
      </c>
      <c r="G224" s="6" t="n">
        <v>0</v>
      </c>
      <c r="H224" s="6" t="inlineStr">
        <is>
          <t>0</t>
        </is>
      </c>
      <c r="I224" s="6" t="inlineStr">
        <is>
          <t>0</t>
        </is>
      </c>
      <c r="J224" s="6" t="inlineStr"/>
      <c r="K224" s="6" t="inlineStr">
        <is>
          <t>2026-06-11</t>
        </is>
      </c>
      <c r="L224" s="6" t="inlineStr">
        <is>
          <t>35</t>
        </is>
      </c>
      <c r="M224" s="6" t="n">
        <v/>
      </c>
      <c r="N224" s="6" t="inlineStr">
        <is>
          <t>45</t>
        </is>
      </c>
      <c r="O224" s="6" t="inlineStr">
        <is>
          <t>J-D07</t>
        </is>
      </c>
      <c r="P224" s="6" t="inlineStr">
        <is>
          <t>DEARBORN HEIGHTS</t>
        </is>
      </c>
      <c r="Q224" s="6" t="inlineStr">
        <is>
          <t>23850 VAN BORN RD, DEARBORN HEIGHTS, MI, 48125</t>
        </is>
      </c>
      <c r="R224" s="6" t="inlineStr"/>
      <c r="S224" s="6" t="inlineStr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</row>
    <row r="225">
      <c r="A225" s="6" t="inlineStr">
        <is>
          <t>AMC primary care</t>
        </is>
      </c>
      <c r="B225" s="6" t="inlineStr">
        <is>
          <t>ce8a4622-f40a-42dd-8695-99a4e9ec7edc</t>
        </is>
      </c>
      <c r="C225" s="6" t="inlineStr">
        <is>
          <t>PCP</t>
        </is>
      </c>
      <c r="D225" s="6" t="inlineStr">
        <is>
          <t>Prospect</t>
        </is>
      </c>
      <c r="E225" s="6" t="inlineStr">
        <is>
          <t>Visit / Prospect</t>
        </is>
      </c>
      <c r="F225" s="6" t="n">
        <v>9</v>
      </c>
      <c r="G225" s="6" t="n">
        <v>0</v>
      </c>
      <c r="H225" s="6" t="inlineStr">
        <is>
          <t>0</t>
        </is>
      </c>
      <c r="I225" s="6" t="inlineStr">
        <is>
          <t>0</t>
        </is>
      </c>
      <c r="J225" s="6" t="inlineStr"/>
      <c r="K225" s="6" t="inlineStr">
        <is>
          <t>2026-06-17</t>
        </is>
      </c>
      <c r="L225" s="6" t="inlineStr">
        <is>
          <t>29</t>
        </is>
      </c>
      <c r="M225" s="6" t="n">
        <v/>
      </c>
      <c r="N225" s="6" t="inlineStr">
        <is>
          <t>45</t>
        </is>
      </c>
      <c r="O225" s="6" t="inlineStr">
        <is>
          <t>J-D07</t>
        </is>
      </c>
      <c r="P225" s="6" t="inlineStr">
        <is>
          <t>Dearborn Heights</t>
        </is>
      </c>
      <c r="Q225" s="6" t="inlineStr">
        <is>
          <t>23850 Van Born Rd, Dearborn Heights, Michigan, 48125</t>
        </is>
      </c>
      <c r="R225" s="6" t="inlineStr"/>
      <c r="S225" s="6" t="inlineStr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</row>
    <row r="226">
      <c r="A226" s="6" t="inlineStr">
        <is>
          <t>Primary Care Center</t>
        </is>
      </c>
      <c r="B226" s="6" t="inlineStr">
        <is>
          <t>814ed74d-d989-4209-bc8c-83f8248094b6</t>
        </is>
      </c>
      <c r="C226" s="6" t="inlineStr">
        <is>
          <t>PCP</t>
        </is>
      </c>
      <c r="D226" s="6" t="inlineStr">
        <is>
          <t>Prospect</t>
        </is>
      </c>
      <c r="E226" s="6" t="inlineStr">
        <is>
          <t>Visit / Prospect</t>
        </is>
      </c>
      <c r="F226" s="6" t="n">
        <v>9</v>
      </c>
      <c r="G226" s="6" t="n">
        <v>0</v>
      </c>
      <c r="H226" s="6" t="inlineStr">
        <is>
          <t>0</t>
        </is>
      </c>
      <c r="I226" s="6" t="inlineStr">
        <is>
          <t>0</t>
        </is>
      </c>
      <c r="J226" s="6" t="inlineStr"/>
      <c r="K226" s="6" t="inlineStr">
        <is>
          <t>2026-06-17</t>
        </is>
      </c>
      <c r="L226" s="6" t="inlineStr">
        <is>
          <t>29</t>
        </is>
      </c>
      <c r="M226" s="6" t="n">
        <v/>
      </c>
      <c r="N226" s="6" t="inlineStr">
        <is>
          <t>45</t>
        </is>
      </c>
      <c r="O226" s="6" t="inlineStr">
        <is>
          <t>J-D07</t>
        </is>
      </c>
      <c r="P226" s="6" t="inlineStr">
        <is>
          <t>Dearborn Heights</t>
        </is>
      </c>
      <c r="Q226" s="6" t="inlineStr">
        <is>
          <t>3902 Monroe St, Dearborn Heights, Michigan, 48125</t>
        </is>
      </c>
      <c r="R226" s="6" t="inlineStr"/>
      <c r="S226" s="6" t="inlineStr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</row>
    <row r="227">
      <c r="A227" s="6" t="inlineStr">
        <is>
          <t>Medical Center Urgent Care</t>
        </is>
      </c>
      <c r="B227" s="6" t="inlineStr">
        <is>
          <t>8934ce8f-6bb3-49e1-9d7e-1da3b417b80c</t>
        </is>
      </c>
      <c r="C227" s="6" t="inlineStr">
        <is>
          <t>Urgent Care</t>
        </is>
      </c>
      <c r="D227" s="6" t="inlineStr">
        <is>
          <t>Prospect</t>
        </is>
      </c>
      <c r="E227" s="6" t="inlineStr">
        <is>
          <t>Visit / Prospect</t>
        </is>
      </c>
      <c r="F227" s="6" t="n">
        <v>9</v>
      </c>
      <c r="G227" s="6" t="n">
        <v>0</v>
      </c>
      <c r="H227" s="6" t="inlineStr">
        <is>
          <t>0</t>
        </is>
      </c>
      <c r="I227" s="6" t="inlineStr">
        <is>
          <t>0</t>
        </is>
      </c>
      <c r="J227" s="6" t="inlineStr"/>
      <c r="K227" s="6" t="inlineStr">
        <is>
          <t>2026-06-12</t>
        </is>
      </c>
      <c r="L227" s="6" t="inlineStr">
        <is>
          <t>34</t>
        </is>
      </c>
      <c r="M227" s="6" t="n">
        <v/>
      </c>
      <c r="N227" s="6" t="inlineStr">
        <is>
          <t>45</t>
        </is>
      </c>
      <c r="O227" s="6" t="inlineStr">
        <is>
          <t>J-D09</t>
        </is>
      </c>
      <c r="P227" s="6" t="inlineStr">
        <is>
          <t>Livonia</t>
        </is>
      </c>
      <c r="Q227" s="6" t="inlineStr">
        <is>
          <t>30737 7 Mile, Livonia, Michigan, 48152</t>
        </is>
      </c>
      <c r="R227" s="6" t="inlineStr"/>
      <c r="S227" s="6" t="inlineStr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</row>
    <row r="228">
      <c r="A228" s="6" t="inlineStr">
        <is>
          <t>IMMEDIATE CARE MEDICAL CENTER, PC</t>
        </is>
      </c>
      <c r="B228" s="6" t="inlineStr">
        <is>
          <t>385dee98-3fbb-4b0d-b39e-a336562f26d0</t>
        </is>
      </c>
      <c r="C228" s="6" t="inlineStr">
        <is>
          <t>PCP</t>
        </is>
      </c>
      <c r="D228" s="6" t="inlineStr">
        <is>
          <t>Prospect</t>
        </is>
      </c>
      <c r="E228" s="6" t="inlineStr">
        <is>
          <t>Visit / Prospect</t>
        </is>
      </c>
      <c r="F228" s="6" t="n">
        <v>9</v>
      </c>
      <c r="G228" s="6" t="n">
        <v>0</v>
      </c>
      <c r="H228" s="6" t="inlineStr">
        <is>
          <t>0</t>
        </is>
      </c>
      <c r="I228" s="6" t="inlineStr">
        <is>
          <t>0</t>
        </is>
      </c>
      <c r="J228" s="6" t="inlineStr"/>
      <c r="K228" s="6" t="inlineStr">
        <is>
          <t>2026-05-11</t>
        </is>
      </c>
      <c r="L228" s="6" t="inlineStr">
        <is>
          <t>66</t>
        </is>
      </c>
      <c r="M228" s="6" t="n">
        <v/>
      </c>
      <c r="N228" s="6" t="inlineStr">
        <is>
          <t>45</t>
        </is>
      </c>
      <c r="O228" s="6" t="inlineStr">
        <is>
          <t>J-D10</t>
        </is>
      </c>
      <c r="P228" s="6" t="inlineStr">
        <is>
          <t>FARMINGTON HILLS</t>
        </is>
      </c>
      <c r="Q228" s="6" t="inlineStr">
        <is>
          <t>21000 MIDDLEBELT RD, FARMINGTON HILLS, Michigan</t>
        </is>
      </c>
      <c r="R228" s="6" t="inlineStr"/>
      <c r="S228" s="6" t="inlineStr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</row>
    <row r="229">
      <c r="A229" s="6" t="inlineStr">
        <is>
          <t>SPECIALISTS IN SPINE SURGERY - Farmington Hills</t>
        </is>
      </c>
      <c r="B229" s="6" t="inlineStr">
        <is>
          <t>df271027-cd7b-426d-a380-9f582e5304ba</t>
        </is>
      </c>
      <c r="C229" s="6" t="inlineStr">
        <is>
          <t>Orthopedic</t>
        </is>
      </c>
      <c r="D229" s="6" t="inlineStr">
        <is>
          <t>Prospect</t>
        </is>
      </c>
      <c r="E229" s="6" t="inlineStr">
        <is>
          <t>Visit / Prospect</t>
        </is>
      </c>
      <c r="F229" s="6" t="n">
        <v>9</v>
      </c>
      <c r="G229" s="6" t="n">
        <v>0</v>
      </c>
      <c r="H229" s="6" t="inlineStr">
        <is>
          <t>0</t>
        </is>
      </c>
      <c r="I229" s="6" t="inlineStr">
        <is>
          <t>0</t>
        </is>
      </c>
      <c r="J229" s="6" t="inlineStr"/>
      <c r="K229" s="6" t="inlineStr">
        <is>
          <t>2026-02-12</t>
        </is>
      </c>
      <c r="L229" s="6" t="inlineStr">
        <is>
          <t>154</t>
        </is>
      </c>
      <c r="M229" s="6" t="n">
        <v/>
      </c>
      <c r="N229" s="6" t="inlineStr">
        <is>
          <t>45</t>
        </is>
      </c>
      <c r="O229" s="6" t="inlineStr">
        <is>
          <t>J-D10</t>
        </is>
      </c>
      <c r="P229" s="6" t="inlineStr">
        <is>
          <t>FARMINGTON HILLS</t>
        </is>
      </c>
      <c r="Q229" s="6" t="inlineStr">
        <is>
          <t>28080 GRAND RIVER AVE STE 208N, FARMINGTON HILLS, MI, 48336</t>
        </is>
      </c>
      <c r="R229" s="6" t="inlineStr"/>
      <c r="S229" s="6" t="inlineStr">
        <is>
          <t>Ortho group w/ in-house spine? verify (Jul 20 rule) → Review for removal</t>
        </is>
      </c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</row>
    <row r="230">
      <c r="A230" s="6" t="inlineStr">
        <is>
          <t>MIND - Dearborn</t>
        </is>
      </c>
      <c r="B230" s="6" t="inlineStr">
        <is>
          <t>949c5a93-1ee8-4f5b-8e67-0ddc90f811c0</t>
        </is>
      </c>
      <c r="C230" s="6" t="inlineStr">
        <is>
          <t>Orthopedic</t>
        </is>
      </c>
      <c r="D230" s="6" t="inlineStr">
        <is>
          <t>Prospect</t>
        </is>
      </c>
      <c r="E230" s="6" t="inlineStr">
        <is>
          <t>Visit / Prospect</t>
        </is>
      </c>
      <c r="F230" s="6" t="n">
        <v>9</v>
      </c>
      <c r="G230" s="6" t="n">
        <v>0</v>
      </c>
      <c r="H230" s="6" t="inlineStr">
        <is>
          <t>0</t>
        </is>
      </c>
      <c r="I230" s="6" t="inlineStr">
        <is>
          <t>0</t>
        </is>
      </c>
      <c r="J230" s="6" t="inlineStr"/>
      <c r="K230" s="6" t="inlineStr">
        <is>
          <t>2026-03-25</t>
        </is>
      </c>
      <c r="L230" s="6" t="inlineStr">
        <is>
          <t>113</t>
        </is>
      </c>
      <c r="M230" s="6" t="n">
        <v/>
      </c>
      <c r="N230" s="6" t="inlineStr">
        <is>
          <t>45</t>
        </is>
      </c>
      <c r="O230" s="6" t="inlineStr">
        <is>
          <t>J-D11</t>
        </is>
      </c>
      <c r="P230" s="6" t="inlineStr">
        <is>
          <t>Dearborn Heights</t>
        </is>
      </c>
      <c r="Q230" s="6" t="inlineStr">
        <is>
          <t>25150 Ford Road, Dearborn Heights, Michigan, 48127</t>
        </is>
      </c>
      <c r="R230" s="6" t="inlineStr"/>
      <c r="S230" s="6" t="inlineStr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</row>
    <row r="231">
      <c r="A231" s="6" t="inlineStr">
        <is>
          <t>Beatty Chiropractic</t>
        </is>
      </c>
      <c r="B231" s="6" t="inlineStr">
        <is>
          <t>22f15cb0-741c-4de9-9b06-0c697d56588d</t>
        </is>
      </c>
      <c r="C231" s="6" t="inlineStr">
        <is>
          <t>Chiropractor</t>
        </is>
      </c>
      <c r="D231" s="6" t="inlineStr">
        <is>
          <t>Prospect</t>
        </is>
      </c>
      <c r="E231" s="6" t="inlineStr">
        <is>
          <t>Visit / Prospect</t>
        </is>
      </c>
      <c r="F231" s="6" t="n">
        <v>9</v>
      </c>
      <c r="G231" s="6" t="n">
        <v>0</v>
      </c>
      <c r="H231" s="6" t="inlineStr">
        <is>
          <t>0</t>
        </is>
      </c>
      <c r="I231" s="6" t="inlineStr">
        <is>
          <t>0</t>
        </is>
      </c>
      <c r="J231" s="6" t="inlineStr"/>
      <c r="K231" s="6" t="inlineStr">
        <is>
          <t>2026-06-05</t>
        </is>
      </c>
      <c r="L231" s="6" t="inlineStr">
        <is>
          <t>41</t>
        </is>
      </c>
      <c r="M231" s="6" t="n">
        <v/>
      </c>
      <c r="N231" s="6" t="inlineStr">
        <is>
          <t>45</t>
        </is>
      </c>
      <c r="O231" s="6" t="inlineStr">
        <is>
          <t>J-D12</t>
        </is>
      </c>
      <c r="P231" s="6" t="inlineStr">
        <is>
          <t>Brighton</t>
        </is>
      </c>
      <c r="Q231" s="6" t="inlineStr">
        <is>
          <t>8050 Grand River Ave, Brighton, Michigan, 48114</t>
        </is>
      </c>
      <c r="R231" s="6" t="inlineStr"/>
      <c r="S231" s="6" t="inlineStr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</row>
    <row r="232">
      <c r="A232" s="6" t="inlineStr">
        <is>
          <t>Ouillette Chiropractic</t>
        </is>
      </c>
      <c r="B232" s="6" t="inlineStr">
        <is>
          <t>a872805b-8d3d-4cf3-8903-4909e19a73d2</t>
        </is>
      </c>
      <c r="C232" s="6" t="inlineStr">
        <is>
          <t>Chiropractor</t>
        </is>
      </c>
      <c r="D232" s="6" t="inlineStr">
        <is>
          <t>Prospect</t>
        </is>
      </c>
      <c r="E232" s="6" t="inlineStr">
        <is>
          <t>Visit / Prospect</t>
        </is>
      </c>
      <c r="F232" s="6" t="n">
        <v>9</v>
      </c>
      <c r="G232" s="6" t="n">
        <v>0</v>
      </c>
      <c r="H232" s="6" t="inlineStr">
        <is>
          <t>0</t>
        </is>
      </c>
      <c r="I232" s="6" t="inlineStr">
        <is>
          <t>0</t>
        </is>
      </c>
      <c r="J232" s="6" t="inlineStr"/>
      <c r="K232" s="6" t="inlineStr">
        <is>
          <t>2026-06-05</t>
        </is>
      </c>
      <c r="L232" s="6" t="inlineStr">
        <is>
          <t>41</t>
        </is>
      </c>
      <c r="M232" s="6" t="n">
        <v/>
      </c>
      <c r="N232" s="6" t="inlineStr">
        <is>
          <t>45</t>
        </is>
      </c>
      <c r="O232" s="6" t="inlineStr">
        <is>
          <t>J-D12</t>
        </is>
      </c>
      <c r="P232" s="6" t="inlineStr">
        <is>
          <t>Brighton</t>
        </is>
      </c>
      <c r="Q232" s="6" t="inlineStr">
        <is>
          <t>8082 Grand River Ave, Brighton, Michigan, 48114</t>
        </is>
      </c>
      <c r="R232" s="6" t="inlineStr"/>
      <c r="S232" s="6" t="inlineStr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</row>
    <row r="233">
      <c r="A233" s="6" t="inlineStr">
        <is>
          <t>RIVER OAKS PRIMARY CARE</t>
        </is>
      </c>
      <c r="B233" s="6" t="inlineStr">
        <is>
          <t>24c56a2c-bfab-4953-87ec-5e21eb9410f3</t>
        </is>
      </c>
      <c r="C233" s="6" t="inlineStr">
        <is>
          <t>PCP</t>
        </is>
      </c>
      <c r="D233" s="6" t="inlineStr">
        <is>
          <t>Prospect</t>
        </is>
      </c>
      <c r="E233" s="6" t="inlineStr">
        <is>
          <t>Visit / Prospect</t>
        </is>
      </c>
      <c r="F233" s="6" t="n">
        <v>9</v>
      </c>
      <c r="G233" s="6" t="n">
        <v>0</v>
      </c>
      <c r="H233" s="6" t="inlineStr">
        <is>
          <t>0</t>
        </is>
      </c>
      <c r="I233" s="6" t="inlineStr">
        <is>
          <t>0</t>
        </is>
      </c>
      <c r="J233" s="6" t="inlineStr"/>
      <c r="K233" s="6" t="inlineStr">
        <is>
          <t>2026-05-06</t>
        </is>
      </c>
      <c r="L233" s="6" t="inlineStr">
        <is>
          <t>71</t>
        </is>
      </c>
      <c r="M233" s="6" t="n">
        <v/>
      </c>
      <c r="N233" s="6" t="inlineStr">
        <is>
          <t>45</t>
        </is>
      </c>
      <c r="O233" s="6" t="inlineStr">
        <is>
          <t>J-D13</t>
        </is>
      </c>
      <c r="P233" s="6" t="inlineStr">
        <is>
          <t>DEARBORN HEIGHTS</t>
        </is>
      </c>
      <c r="Q233" s="6" t="inlineStr">
        <is>
          <t>20211 ANN ARBOR TRL, DEARBORN HEIGHTS, MI, 48127</t>
        </is>
      </c>
      <c r="R233" s="6" t="inlineStr"/>
      <c r="S233" s="6" t="inlineStr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</row>
    <row r="234">
      <c r="A234" s="6" t="inlineStr">
        <is>
          <t>Dearborn Family Doctors</t>
        </is>
      </c>
      <c r="B234" s="6" t="inlineStr">
        <is>
          <t>9f05c66c-699d-4a43-9c7c-5d261dd9aaf8</t>
        </is>
      </c>
      <c r="C234" s="6" t="inlineStr">
        <is>
          <t>PCP</t>
        </is>
      </c>
      <c r="D234" s="6" t="inlineStr">
        <is>
          <t>Prospect</t>
        </is>
      </c>
      <c r="E234" s="6" t="inlineStr">
        <is>
          <t>Visit / Prospect</t>
        </is>
      </c>
      <c r="F234" s="6" t="n">
        <v>9</v>
      </c>
      <c r="G234" s="6" t="n">
        <v>0</v>
      </c>
      <c r="H234" s="6" t="inlineStr">
        <is>
          <t>0</t>
        </is>
      </c>
      <c r="I234" s="6" t="inlineStr">
        <is>
          <t>0</t>
        </is>
      </c>
      <c r="J234" s="6" t="inlineStr"/>
      <c r="K234" s="6" t="inlineStr">
        <is>
          <t>2026-05-20</t>
        </is>
      </c>
      <c r="L234" s="6" t="inlineStr">
        <is>
          <t>57</t>
        </is>
      </c>
      <c r="M234" s="6" t="n">
        <v/>
      </c>
      <c r="N234" s="6" t="inlineStr">
        <is>
          <t>45</t>
        </is>
      </c>
      <c r="O234" s="6" t="inlineStr">
        <is>
          <t>J-D13</t>
        </is>
      </c>
      <c r="P234" s="6" t="inlineStr">
        <is>
          <t>Dearborn</t>
        </is>
      </c>
      <c r="Q234" s="6" t="inlineStr">
        <is>
          <t>4726 Greenfield Rd, Dearborn, Michigan, 48126</t>
        </is>
      </c>
      <c r="R234" s="6" t="inlineStr"/>
      <c r="S234" s="6" t="inlineStr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</row>
    <row r="235">
      <c r="A235" s="6" t="inlineStr">
        <is>
          <t>WARRENFIELD MEDICAL CENTER (Medicaid)</t>
        </is>
      </c>
      <c r="B235" s="6" t="inlineStr">
        <is>
          <t>26dc2847-2f28-4c34-9f35-f5478493d95d</t>
        </is>
      </c>
      <c r="C235" s="6" t="inlineStr">
        <is>
          <t>PCP</t>
        </is>
      </c>
      <c r="D235" s="6" t="inlineStr">
        <is>
          <t>Prospect</t>
        </is>
      </c>
      <c r="E235" s="6" t="inlineStr">
        <is>
          <t>Visit / Prospect</t>
        </is>
      </c>
      <c r="F235" s="6" t="n">
        <v>9</v>
      </c>
      <c r="G235" s="6" t="n">
        <v>0</v>
      </c>
      <c r="H235" s="6" t="inlineStr">
        <is>
          <t>0</t>
        </is>
      </c>
      <c r="I235" s="6" t="inlineStr">
        <is>
          <t>0</t>
        </is>
      </c>
      <c r="J235" s="6" t="inlineStr"/>
      <c r="K235" s="6" t="inlineStr">
        <is>
          <t>2026-06-01</t>
        </is>
      </c>
      <c r="L235" s="6" t="inlineStr">
        <is>
          <t>45</t>
        </is>
      </c>
      <c r="M235" s="6" t="n">
        <v/>
      </c>
      <c r="N235" s="6" t="inlineStr">
        <is>
          <t>45</t>
        </is>
      </c>
      <c r="O235" s="6" t="inlineStr">
        <is>
          <t>J-D13</t>
        </is>
      </c>
      <c r="P235" s="6" t="inlineStr">
        <is>
          <t>DEARBORN</t>
        </is>
      </c>
      <c r="Q235" s="6" t="inlineStr">
        <is>
          <t>14716 W WARREN AVE, DEARBORN, Michigan, 48126</t>
        </is>
      </c>
      <c r="R235" s="6" t="inlineStr"/>
      <c r="S235" s="6" t="inlineStr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</row>
    <row r="236">
      <c r="A236" s="6" t="inlineStr">
        <is>
          <t>Bingham Medical Center</t>
        </is>
      </c>
      <c r="B236" s="6" t="inlineStr">
        <is>
          <t>b6360502-f09b-4a86-a894-4bf7c93c89d7</t>
        </is>
      </c>
      <c r="C236" s="6" t="inlineStr">
        <is>
          <t>PCP</t>
        </is>
      </c>
      <c r="D236" s="6" t="inlineStr">
        <is>
          <t>Prospect</t>
        </is>
      </c>
      <c r="E236" s="6" t="inlineStr">
        <is>
          <t>Visit / Prospect</t>
        </is>
      </c>
      <c r="F236" s="6" t="n">
        <v>9</v>
      </c>
      <c r="G236" s="6" t="n">
        <v>0</v>
      </c>
      <c r="H236" s="6" t="inlineStr">
        <is>
          <t>0</t>
        </is>
      </c>
      <c r="I236" s="6" t="inlineStr">
        <is>
          <t>0</t>
        </is>
      </c>
      <c r="J236" s="6" t="inlineStr"/>
      <c r="K236" s="6" t="inlineStr">
        <is>
          <t>2026-05-06</t>
        </is>
      </c>
      <c r="L236" s="6" t="inlineStr">
        <is>
          <t>71</t>
        </is>
      </c>
      <c r="M236" s="6" t="n">
        <v/>
      </c>
      <c r="N236" s="6" t="inlineStr">
        <is>
          <t>45</t>
        </is>
      </c>
      <c r="O236" s="6" t="inlineStr">
        <is>
          <t>J-D13</t>
        </is>
      </c>
      <c r="P236" s="6" t="inlineStr">
        <is>
          <t>Dearborn</t>
        </is>
      </c>
      <c r="Q236" s="6" t="inlineStr">
        <is>
          <t>13320 West Warren Avenue Ste A, Dearborn, Michigan, 48126</t>
        </is>
      </c>
      <c r="R236" s="6" t="inlineStr"/>
      <c r="S236" s="6" t="inlineStr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</row>
    <row r="237">
      <c r="A237" s="6" t="inlineStr">
        <is>
          <t>Concentra Urgent Care - Southfield</t>
        </is>
      </c>
      <c r="B237" s="6" t="inlineStr">
        <is>
          <t>b2d22607-bdd2-4f7e-a58d-316f80c17f40</t>
        </is>
      </c>
      <c r="C237" s="6" t="inlineStr">
        <is>
          <t>Urgent Care</t>
        </is>
      </c>
      <c r="D237" s="6" t="inlineStr">
        <is>
          <t>Prospect</t>
        </is>
      </c>
      <c r="E237" s="6" t="inlineStr">
        <is>
          <t>Visit / Prospect</t>
        </is>
      </c>
      <c r="F237" s="6" t="n">
        <v>9</v>
      </c>
      <c r="G237" s="6" t="n">
        <v>0</v>
      </c>
      <c r="H237" s="6" t="inlineStr">
        <is>
          <t>0</t>
        </is>
      </c>
      <c r="I237" s="6" t="inlineStr">
        <is>
          <t>0</t>
        </is>
      </c>
      <c r="J237" s="6" t="inlineStr"/>
      <c r="K237" s="6" t="inlineStr">
        <is>
          <t>2026-07-09</t>
        </is>
      </c>
      <c r="L237" s="6" t="inlineStr">
        <is>
          <t>7</t>
        </is>
      </c>
      <c r="M237" s="6" t="n">
        <v/>
      </c>
      <c r="N237" s="6" t="inlineStr">
        <is>
          <t>45</t>
        </is>
      </c>
      <c r="O237" s="6" t="inlineStr">
        <is>
          <t>J-D14</t>
        </is>
      </c>
      <c r="P237" s="6" t="inlineStr">
        <is>
          <t>Southfield</t>
        </is>
      </c>
      <c r="Q237" s="6" t="inlineStr">
        <is>
          <t>26185 Greenfield Rd, Southfield, Michigan, 48076</t>
        </is>
      </c>
      <c r="R237" s="6" t="inlineStr"/>
      <c r="S237" s="6" t="inlineStr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</row>
    <row r="238">
      <c r="A238" s="6" t="inlineStr">
        <is>
          <t>Gretchen’s place</t>
        </is>
      </c>
      <c r="B238" s="6" t="inlineStr">
        <is>
          <t>78f67c23-fe17-4b42-bdb5-acb7cfeea57d</t>
        </is>
      </c>
      <c r="C238" s="6" t="inlineStr">
        <is>
          <t>PCP</t>
        </is>
      </c>
      <c r="D238" s="6" t="inlineStr">
        <is>
          <t>Prospect</t>
        </is>
      </c>
      <c r="E238" s="6" t="inlineStr">
        <is>
          <t>Visit / Prospect</t>
        </is>
      </c>
      <c r="F238" s="6" t="n">
        <v>9</v>
      </c>
      <c r="G238" s="6" t="n">
        <v>0</v>
      </c>
      <c r="H238" s="6" t="inlineStr">
        <is>
          <t>0</t>
        </is>
      </c>
      <c r="I238" s="6" t="inlineStr">
        <is>
          <t>0</t>
        </is>
      </c>
      <c r="J238" s="6" t="inlineStr"/>
      <c r="K238" s="6" t="inlineStr">
        <is>
          <t>2026-05-29</t>
        </is>
      </c>
      <c r="L238" s="6" t="inlineStr">
        <is>
          <t>48</t>
        </is>
      </c>
      <c r="M238" s="6" t="n">
        <v/>
      </c>
      <c r="N238" s="6" t="inlineStr">
        <is>
          <t>45</t>
        </is>
      </c>
      <c r="O238" s="6" t="inlineStr">
        <is>
          <t>J-D15</t>
        </is>
      </c>
      <c r="P238" s="6" t="inlineStr">
        <is>
          <t>Belleville</t>
        </is>
      </c>
      <c r="Q238" s="6" t="inlineStr">
        <is>
          <t>25 Owen Street, Belleville, Michigan, 48111</t>
        </is>
      </c>
      <c r="R238" s="6" t="inlineStr"/>
      <c r="S238" s="6" t="inlineStr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</row>
    <row r="239">
      <c r="A239" s="6" t="inlineStr">
        <is>
          <t>VAN BUREN URGENT CARE</t>
        </is>
      </c>
      <c r="B239" s="6" t="inlineStr">
        <is>
          <t>8db196d1-c39b-42f6-8eb5-c38cd6f73bef</t>
        </is>
      </c>
      <c r="C239" s="6" t="inlineStr">
        <is>
          <t>Orthopedic</t>
        </is>
      </c>
      <c r="D239" s="6" t="inlineStr">
        <is>
          <t>Prospect</t>
        </is>
      </c>
      <c r="E239" s="6" t="inlineStr">
        <is>
          <t>Visit / Prospect</t>
        </is>
      </c>
      <c r="F239" s="6" t="n">
        <v>9</v>
      </c>
      <c r="G239" s="6" t="n">
        <v>0</v>
      </c>
      <c r="H239" s="6" t="inlineStr">
        <is>
          <t>0</t>
        </is>
      </c>
      <c r="I239" s="6" t="inlineStr">
        <is>
          <t>0</t>
        </is>
      </c>
      <c r="J239" s="6" t="inlineStr"/>
      <c r="K239" s="6" t="inlineStr">
        <is>
          <t>2026-05-28</t>
        </is>
      </c>
      <c r="L239" s="6" t="inlineStr">
        <is>
          <t>49</t>
        </is>
      </c>
      <c r="M239" s="6" t="n">
        <v/>
      </c>
      <c r="N239" s="6" t="inlineStr">
        <is>
          <t>45</t>
        </is>
      </c>
      <c r="O239" s="6" t="inlineStr">
        <is>
          <t>J-D15</t>
        </is>
      </c>
      <c r="P239" s="6" t="inlineStr">
        <is>
          <t>Belleville</t>
        </is>
      </c>
      <c r="Q239" s="6" t="inlineStr">
        <is>
          <t>11650 Belleville Road, Belleville, Michigan, 48111</t>
        </is>
      </c>
      <c r="R239" s="6" t="inlineStr"/>
      <c r="S239" s="6" t="inlineStr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</row>
    <row r="240">
      <c r="A240" s="6" t="inlineStr">
        <is>
          <t>Trinity Health IHA Medical Group, Hospital Medicine</t>
        </is>
      </c>
      <c r="B240" s="6" t="inlineStr">
        <is>
          <t>5786e4a9-a5e1-4f0e-8e1a-c8f07c3acec4</t>
        </is>
      </c>
      <c r="C240" s="6" t="inlineStr">
        <is>
          <t>PCP</t>
        </is>
      </c>
      <c r="D240" s="6" t="inlineStr">
        <is>
          <t>Prospect</t>
        </is>
      </c>
      <c r="E240" s="6" t="inlineStr">
        <is>
          <t>Visit / Prospect</t>
        </is>
      </c>
      <c r="F240" s="6" t="n">
        <v>9</v>
      </c>
      <c r="G240" s="6" t="n">
        <v>0</v>
      </c>
      <c r="H240" s="6" t="inlineStr">
        <is>
          <t>0</t>
        </is>
      </c>
      <c r="I240" s="6" t="inlineStr">
        <is>
          <t>0</t>
        </is>
      </c>
      <c r="J240" s="6" t="inlineStr"/>
      <c r="K240" s="6" t="inlineStr">
        <is>
          <t>2026-06-12</t>
        </is>
      </c>
      <c r="L240" s="6" t="inlineStr">
        <is>
          <t>34</t>
        </is>
      </c>
      <c r="M240" s="6" t="n">
        <v/>
      </c>
      <c r="N240" s="6" t="inlineStr">
        <is>
          <t>45</t>
        </is>
      </c>
      <c r="O240" s="6" t="inlineStr">
        <is>
          <t>J-D17</t>
        </is>
      </c>
      <c r="P240" s="6" t="inlineStr">
        <is>
          <t>LIVONIA</t>
        </is>
      </c>
      <c r="Q240" s="6" t="inlineStr">
        <is>
          <t>36475 5 MILE RD, LIVONIA, Michigan, 48154</t>
        </is>
      </c>
      <c r="R240" s="6" t="inlineStr"/>
      <c r="S240" s="6" t="inlineStr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</row>
    <row r="241">
      <c r="A241" s="6" t="inlineStr">
        <is>
          <t>Trinity Health - Emergency Medicine</t>
        </is>
      </c>
      <c r="B241" s="6" t="inlineStr">
        <is>
          <t>a593a2a7-7132-4eb5-8a8f-67807158ca38</t>
        </is>
      </c>
      <c r="C241" s="6" t="inlineStr">
        <is>
          <t>PCP</t>
        </is>
      </c>
      <c r="D241" s="6" t="inlineStr">
        <is>
          <t>Prospect</t>
        </is>
      </c>
      <c r="E241" s="6" t="inlineStr">
        <is>
          <t>Visit / Prospect</t>
        </is>
      </c>
      <c r="F241" s="6" t="n">
        <v>9</v>
      </c>
      <c r="G241" s="6" t="n">
        <v>0</v>
      </c>
      <c r="H241" s="6" t="inlineStr">
        <is>
          <t>0</t>
        </is>
      </c>
      <c r="I241" s="6" t="inlineStr">
        <is>
          <t>0</t>
        </is>
      </c>
      <c r="J241" s="6" t="inlineStr"/>
      <c r="K241" s="6" t="inlineStr">
        <is>
          <t>2026-06-12</t>
        </is>
      </c>
      <c r="L241" s="6" t="inlineStr">
        <is>
          <t>34</t>
        </is>
      </c>
      <c r="M241" s="6" t="n">
        <v/>
      </c>
      <c r="N241" s="6" t="inlineStr">
        <is>
          <t>45</t>
        </is>
      </c>
      <c r="O241" s="6" t="inlineStr">
        <is>
          <t>J-D17</t>
        </is>
      </c>
      <c r="P241" s="6" t="inlineStr">
        <is>
          <t>Livonia</t>
        </is>
      </c>
      <c r="Q241" s="6" t="inlineStr">
        <is>
          <t>36475 Five Mile Rd, Livonia, Michigan, 48154</t>
        </is>
      </c>
      <c r="R241" s="6" t="inlineStr"/>
      <c r="S241" s="6" t="inlineStr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</row>
    <row r="242">
      <c r="A242" s="6" t="inlineStr">
        <is>
          <t>Advanced Primary Care</t>
        </is>
      </c>
      <c r="B242" s="6" t="inlineStr">
        <is>
          <t>6101ca46-69b5-43a2-a4cd-74be14995963</t>
        </is>
      </c>
      <c r="C242" s="6" t="inlineStr">
        <is>
          <t>PCP</t>
        </is>
      </c>
      <c r="D242" s="6" t="inlineStr">
        <is>
          <t>Prospect</t>
        </is>
      </c>
      <c r="E242" s="6" t="inlineStr">
        <is>
          <t>Visit / Prospect</t>
        </is>
      </c>
      <c r="F242" s="6" t="n">
        <v>9</v>
      </c>
      <c r="G242" s="6" t="n">
        <v>0</v>
      </c>
      <c r="H242" s="6" t="inlineStr">
        <is>
          <t>0</t>
        </is>
      </c>
      <c r="I242" s="6" t="inlineStr">
        <is>
          <t>0</t>
        </is>
      </c>
      <c r="J242" s="6" t="inlineStr"/>
      <c r="K242" s="6" t="inlineStr">
        <is>
          <t>2026-06-02</t>
        </is>
      </c>
      <c r="L242" s="6" t="inlineStr">
        <is>
          <t>44</t>
        </is>
      </c>
      <c r="M242" s="6" t="n">
        <v/>
      </c>
      <c r="N242" s="6" t="inlineStr">
        <is>
          <t>45</t>
        </is>
      </c>
      <c r="O242" s="6" t="inlineStr">
        <is>
          <t>J-D18</t>
        </is>
      </c>
      <c r="P242" s="6" t="inlineStr">
        <is>
          <t>CANTON</t>
        </is>
      </c>
      <c r="Q242" s="6" t="inlineStr">
        <is>
          <t>43050 Ford Road, suite 170, CANTON, Michigan, 48187</t>
        </is>
      </c>
      <c r="R242" s="6" t="inlineStr"/>
      <c r="S242" s="6" t="inlineStr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</row>
    <row r="243">
      <c r="A243" s="6" t="inlineStr">
        <is>
          <t>BEAUMONT CHERRY HILL INTERNAL MEDICAL ASSOCIATES CANTON</t>
        </is>
      </c>
      <c r="B243" s="6" t="inlineStr">
        <is>
          <t>da712fc9-9f3d-4a5e-ac23-794ae5307850</t>
        </is>
      </c>
      <c r="C243" s="6" t="inlineStr">
        <is>
          <t>PCP</t>
        </is>
      </c>
      <c r="D243" s="6" t="inlineStr">
        <is>
          <t>Prospect</t>
        </is>
      </c>
      <c r="E243" s="6" t="inlineStr">
        <is>
          <t>Visit / Prospect</t>
        </is>
      </c>
      <c r="F243" s="6" t="n">
        <v>9</v>
      </c>
      <c r="G243" s="6" t="n">
        <v>0</v>
      </c>
      <c r="H243" s="6" t="inlineStr">
        <is>
          <t>0</t>
        </is>
      </c>
      <c r="I243" s="6" t="inlineStr">
        <is>
          <t>0</t>
        </is>
      </c>
      <c r="J243" s="6" t="inlineStr"/>
      <c r="K243" s="6" t="inlineStr">
        <is>
          <t>2026-06-05</t>
        </is>
      </c>
      <c r="L243" s="6" t="inlineStr">
        <is>
          <t>41</t>
        </is>
      </c>
      <c r="M243" s="6" t="n">
        <v/>
      </c>
      <c r="N243" s="6" t="inlineStr">
        <is>
          <t>45</t>
        </is>
      </c>
      <c r="O243" s="6" t="inlineStr">
        <is>
          <t>J-D18</t>
        </is>
      </c>
      <c r="P243" s="6" t="inlineStr">
        <is>
          <t>CANTON</t>
        </is>
      </c>
      <c r="Q243" s="6" t="inlineStr">
        <is>
          <t>2050 N HAGGERTY RD STE 100, CANTON, MI, 48187</t>
        </is>
      </c>
      <c r="R243" s="6" t="inlineStr"/>
      <c r="S243" s="6" t="inlineStr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</row>
    <row r="244">
      <c r="A244" s="6" t="inlineStr">
        <is>
          <t>Trinity Health Neighborhood Primary Care</t>
        </is>
      </c>
      <c r="B244" s="6" t="inlineStr">
        <is>
          <t>ac45f6d9-dd01-44d1-bc46-d23d9a646a13</t>
        </is>
      </c>
      <c r="C244" s="6" t="inlineStr">
        <is>
          <t>PCP</t>
        </is>
      </c>
      <c r="D244" s="6" t="inlineStr">
        <is>
          <t>Prospect</t>
        </is>
      </c>
      <c r="E244" s="6" t="inlineStr">
        <is>
          <t>Visit / Prospect</t>
        </is>
      </c>
      <c r="F244" s="6" t="n">
        <v>9</v>
      </c>
      <c r="G244" s="6" t="n">
        <v>0</v>
      </c>
      <c r="H244" s="6" t="inlineStr">
        <is>
          <t>0</t>
        </is>
      </c>
      <c r="I244" s="6" t="inlineStr">
        <is>
          <t>0</t>
        </is>
      </c>
      <c r="J244" s="6" t="inlineStr"/>
      <c r="K244" s="6" t="inlineStr">
        <is>
          <t>2026-06-08</t>
        </is>
      </c>
      <c r="L244" s="6" t="inlineStr">
        <is>
          <t>38</t>
        </is>
      </c>
      <c r="M244" s="6" t="n">
        <v/>
      </c>
      <c r="N244" s="6" t="inlineStr">
        <is>
          <t>45</t>
        </is>
      </c>
      <c r="O244" s="6" t="inlineStr">
        <is>
          <t>J-D19</t>
        </is>
      </c>
      <c r="P244" s="6" t="inlineStr">
        <is>
          <t>Ypsilanti</t>
        </is>
      </c>
      <c r="Q244" s="6" t="inlineStr">
        <is>
          <t>111 N Huron St ste 200, Ypsilanti, Michigan, 48197</t>
        </is>
      </c>
      <c r="R244" s="6" t="inlineStr"/>
      <c r="S244" s="6" t="inlineStr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</row>
    <row r="245">
      <c r="A245" s="6" t="inlineStr">
        <is>
          <t>ATI Ypsilanti Huron Rd</t>
        </is>
      </c>
      <c r="B245" s="6" t="inlineStr">
        <is>
          <t>2dfe8906-751d-4f2b-a4e4-e40addc8ffa5</t>
        </is>
      </c>
      <c r="C245" s="6" t="inlineStr">
        <is>
          <t>PCP</t>
        </is>
      </c>
      <c r="D245" s="6" t="inlineStr">
        <is>
          <t>Prospect</t>
        </is>
      </c>
      <c r="E245" s="6" t="inlineStr">
        <is>
          <t>Visit / Prospect</t>
        </is>
      </c>
      <c r="F245" s="6" t="n">
        <v>9</v>
      </c>
      <c r="G245" s="6" t="n">
        <v>0</v>
      </c>
      <c r="H245" s="6" t="inlineStr">
        <is>
          <t>0</t>
        </is>
      </c>
      <c r="I245" s="6" t="inlineStr">
        <is>
          <t>0</t>
        </is>
      </c>
      <c r="J245" s="6" t="inlineStr"/>
      <c r="K245" s="6" t="inlineStr">
        <is>
          <t>2026-06-08</t>
        </is>
      </c>
      <c r="L245" s="6" t="inlineStr">
        <is>
          <t>38</t>
        </is>
      </c>
      <c r="M245" s="6" t="n">
        <v/>
      </c>
      <c r="N245" s="6" t="inlineStr">
        <is>
          <t>45</t>
        </is>
      </c>
      <c r="O245" s="6" t="inlineStr">
        <is>
          <t>J-D19</t>
        </is>
      </c>
      <c r="P245" s="6" t="inlineStr">
        <is>
          <t>Ypsilanti</t>
        </is>
      </c>
      <c r="Q245" s="6" t="inlineStr">
        <is>
          <t>1613 Huron Street, Ypsilanti, Michigan, 48197</t>
        </is>
      </c>
      <c r="R245" s="6" t="inlineStr"/>
      <c r="S245" s="6" t="inlineStr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</row>
    <row r="246">
      <c r="A246" s="6" t="inlineStr">
        <is>
          <t>Vladimir Klemptner MD,</t>
        </is>
      </c>
      <c r="B246" s="6" t="inlineStr">
        <is>
          <t>1396739975</t>
        </is>
      </c>
      <c r="C246" s="6" t="inlineStr">
        <is>
          <t>PCP</t>
        </is>
      </c>
      <c r="D246" s="6" t="inlineStr">
        <is>
          <t>Prospect</t>
        </is>
      </c>
      <c r="E246" s="6" t="inlineStr">
        <is>
          <t>Visit / Prospect</t>
        </is>
      </c>
      <c r="F246" s="6" t="n">
        <v>9</v>
      </c>
      <c r="G246" s="6" t="n">
        <v>0</v>
      </c>
      <c r="H246" s="6" t="inlineStr">
        <is>
          <t>0</t>
        </is>
      </c>
      <c r="I246" s="6" t="inlineStr">
        <is>
          <t>0</t>
        </is>
      </c>
      <c r="J246" s="6" t="inlineStr"/>
      <c r="K246" s="6" t="inlineStr">
        <is>
          <t>2026-06-26</t>
        </is>
      </c>
      <c r="L246" s="6" t="inlineStr">
        <is>
          <t>20</t>
        </is>
      </c>
      <c r="M246" s="6" t="n">
        <v/>
      </c>
      <c r="N246" s="6" t="inlineStr">
        <is>
          <t>45</t>
        </is>
      </c>
      <c r="O246" s="6" t="inlineStr">
        <is>
          <t>J-D19</t>
        </is>
      </c>
      <c r="P246" s="6" t="inlineStr">
        <is>
          <t>Ypsilanti</t>
        </is>
      </c>
      <c r="Q246" s="6" t="inlineStr">
        <is>
          <t>1159 E Michigan Ave, Ypsilanti, MI, 481985807</t>
        </is>
      </c>
      <c r="R246" s="6" t="inlineStr"/>
      <c r="S246" s="6" t="inlineStr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</row>
    <row r="247">
      <c r="A247" s="6" t="inlineStr">
        <is>
          <t>SUNSTRUM MEDICAL ASSOCIATES, PC</t>
        </is>
      </c>
      <c r="B247" s="6" t="inlineStr">
        <is>
          <t>9a393155-33e1-469d-b167-37156a4a3741</t>
        </is>
      </c>
      <c r="C247" s="6" t="inlineStr">
        <is>
          <t>PCP</t>
        </is>
      </c>
      <c r="D247" s="6" t="inlineStr">
        <is>
          <t>Prospect</t>
        </is>
      </c>
      <c r="E247" s="6" t="inlineStr">
        <is>
          <t>Visit / Prospect</t>
        </is>
      </c>
      <c r="F247" s="6" t="n">
        <v>9</v>
      </c>
      <c r="G247" s="6" t="n">
        <v>0</v>
      </c>
      <c r="H247" s="6" t="inlineStr">
        <is>
          <t>0</t>
        </is>
      </c>
      <c r="I247" s="6" t="inlineStr">
        <is>
          <t>0</t>
        </is>
      </c>
      <c r="J247" s="6" t="inlineStr"/>
      <c r="K247" s="6" t="inlineStr">
        <is>
          <t>2026-06-01</t>
        </is>
      </c>
      <c r="L247" s="6" t="inlineStr">
        <is>
          <t>45</t>
        </is>
      </c>
      <c r="M247" s="6" t="n">
        <v/>
      </c>
      <c r="N247" s="6" t="inlineStr">
        <is>
          <t>45</t>
        </is>
      </c>
      <c r="O247" s="6" t="inlineStr">
        <is>
          <t>J-D21</t>
        </is>
      </c>
      <c r="P247" s="6" t="inlineStr">
        <is>
          <t>DEARBORN</t>
        </is>
      </c>
      <c r="Q247" s="6" t="inlineStr">
        <is>
          <t>1934 MONROE ST, DEARBORN, MI, 48124</t>
        </is>
      </c>
      <c r="R247" s="6" t="inlineStr"/>
      <c r="S247" s="6" t="inlineStr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</row>
    <row r="248">
      <c r="A248" s="6" t="inlineStr">
        <is>
          <t>Fayda Zakaria MD Family Medicine</t>
        </is>
      </c>
      <c r="B248" s="6" t="inlineStr">
        <is>
          <t>c86d4c75-6c14-46b0-aa13-6b4f929dad66</t>
        </is>
      </c>
      <c r="C248" s="6" t="inlineStr">
        <is>
          <t>PCP</t>
        </is>
      </c>
      <c r="D248" s="6" t="inlineStr">
        <is>
          <t>Prospect</t>
        </is>
      </c>
      <c r="E248" s="6" t="inlineStr">
        <is>
          <t>Visit / Prospect</t>
        </is>
      </c>
      <c r="F248" s="6" t="n">
        <v>9</v>
      </c>
      <c r="G248" s="6" t="n">
        <v>0</v>
      </c>
      <c r="H248" s="6" t="inlineStr">
        <is>
          <t>0</t>
        </is>
      </c>
      <c r="I248" s="6" t="inlineStr">
        <is>
          <t>0</t>
        </is>
      </c>
      <c r="J248" s="6" t="inlineStr"/>
      <c r="K248" s="6" t="inlineStr">
        <is>
          <t>2026-05-06</t>
        </is>
      </c>
      <c r="L248" s="6" t="inlineStr">
        <is>
          <t>71</t>
        </is>
      </c>
      <c r="M248" s="6" t="n">
        <v/>
      </c>
      <c r="N248" s="6" t="inlineStr">
        <is>
          <t>45</t>
        </is>
      </c>
      <c r="O248" s="6" t="inlineStr">
        <is>
          <t>J-D21</t>
        </is>
      </c>
      <c r="P248" s="6" t="inlineStr">
        <is>
          <t>Dearborn</t>
        </is>
      </c>
      <c r="Q248" s="6" t="inlineStr">
        <is>
          <t>1711 Monroe St, Dearborn, Michigan, 48124</t>
        </is>
      </c>
      <c r="R248" s="6" t="inlineStr"/>
      <c r="S248" s="6" t="inlineStr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</row>
    <row r="249">
      <c r="A249" s="6" t="inlineStr">
        <is>
          <t>MDWell</t>
        </is>
      </c>
      <c r="B249" s="6" t="inlineStr">
        <is>
          <t>dd8c9b24-ab9f-484e-af36-a2a96ed1e466</t>
        </is>
      </c>
      <c r="C249" s="6" t="inlineStr">
        <is>
          <t>PCP</t>
        </is>
      </c>
      <c r="D249" s="6" t="inlineStr">
        <is>
          <t>Prospect</t>
        </is>
      </c>
      <c r="E249" s="6" t="inlineStr">
        <is>
          <t>Visit / Prospect</t>
        </is>
      </c>
      <c r="F249" s="6" t="n">
        <v>9</v>
      </c>
      <c r="G249" s="6" t="n">
        <v>0</v>
      </c>
      <c r="H249" s="6" t="inlineStr">
        <is>
          <t>0</t>
        </is>
      </c>
      <c r="I249" s="6" t="inlineStr">
        <is>
          <t>0</t>
        </is>
      </c>
      <c r="J249" s="6" t="inlineStr"/>
      <c r="K249" s="6" t="inlineStr">
        <is>
          <t>2026-05-06</t>
        </is>
      </c>
      <c r="L249" s="6" t="inlineStr">
        <is>
          <t>71</t>
        </is>
      </c>
      <c r="M249" s="6" t="n">
        <v/>
      </c>
      <c r="N249" s="6" t="inlineStr">
        <is>
          <t>45</t>
        </is>
      </c>
      <c r="O249" s="6" t="inlineStr">
        <is>
          <t>J-D21</t>
        </is>
      </c>
      <c r="P249" s="6" t="inlineStr">
        <is>
          <t>Dearborn</t>
        </is>
      </c>
      <c r="Q249" s="6" t="inlineStr">
        <is>
          <t>1213 Mason St, Dearborn, Michigan, 48124</t>
        </is>
      </c>
      <c r="R249" s="6" t="inlineStr"/>
      <c r="S249" s="6" t="inlineStr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</row>
    <row r="250">
      <c r="A250" s="6" t="inlineStr">
        <is>
          <t>HEIGHTS FAMILY MEDICINE</t>
        </is>
      </c>
      <c r="B250" s="6" t="inlineStr">
        <is>
          <t>dfe30c97-b799-437f-ad7d-2a2e7e8e23e1</t>
        </is>
      </c>
      <c r="C250" s="6" t="inlineStr">
        <is>
          <t>PCP</t>
        </is>
      </c>
      <c r="D250" s="6" t="inlineStr">
        <is>
          <t>Prospect</t>
        </is>
      </c>
      <c r="E250" s="6" t="inlineStr">
        <is>
          <t>Visit / Prospect</t>
        </is>
      </c>
      <c r="F250" s="6" t="n">
        <v>9</v>
      </c>
      <c r="G250" s="6" t="n">
        <v>0</v>
      </c>
      <c r="H250" s="6" t="inlineStr">
        <is>
          <t>0</t>
        </is>
      </c>
      <c r="I250" s="6" t="inlineStr">
        <is>
          <t>0</t>
        </is>
      </c>
      <c r="J250" s="6" t="inlineStr"/>
      <c r="K250" s="6" t="inlineStr">
        <is>
          <t>2026-05-06</t>
        </is>
      </c>
      <c r="L250" s="6" t="inlineStr">
        <is>
          <t>71</t>
        </is>
      </c>
      <c r="M250" s="6" t="n">
        <v/>
      </c>
      <c r="N250" s="6" t="inlineStr">
        <is>
          <t>45</t>
        </is>
      </c>
      <c r="O250" s="6" t="inlineStr">
        <is>
          <t>J-D21</t>
        </is>
      </c>
      <c r="P250" s="6" t="inlineStr">
        <is>
          <t>DEARBORN HEIGHTS</t>
        </is>
      </c>
      <c r="Q250" s="6" t="inlineStr">
        <is>
          <t>22350 FORD RD, DEARBORN HEIGHTS, MI, 48127</t>
        </is>
      </c>
      <c r="R250" s="6" t="inlineStr"/>
      <c r="S250" s="6" t="inlineStr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</row>
    <row r="251">
      <c r="A251" s="6" t="inlineStr">
        <is>
          <t>MICHIGAN INTERVENTIONAL PAIN CENTER (this is an ASC)</t>
        </is>
      </c>
      <c r="B251" s="6" t="inlineStr">
        <is>
          <t>d1235093-a65c-465a-ace2-cffd3d4ad232</t>
        </is>
      </c>
      <c r="C251" s="6" t="inlineStr">
        <is>
          <t>Orthopedic</t>
        </is>
      </c>
      <c r="D251" s="6" t="inlineStr">
        <is>
          <t>Prospect</t>
        </is>
      </c>
      <c r="E251" s="6" t="inlineStr">
        <is>
          <t>Visit / Prospect</t>
        </is>
      </c>
      <c r="F251" s="6" t="n">
        <v>9</v>
      </c>
      <c r="G251" s="6" t="n">
        <v>0</v>
      </c>
      <c r="H251" s="6" t="inlineStr">
        <is>
          <t>0</t>
        </is>
      </c>
      <c r="I251" s="6" t="inlineStr">
        <is>
          <t>0</t>
        </is>
      </c>
      <c r="J251" s="6" t="inlineStr"/>
      <c r="K251" s="6" t="inlineStr">
        <is>
          <t>2026-01-26</t>
        </is>
      </c>
      <c r="L251" s="6" t="inlineStr">
        <is>
          <t>171</t>
        </is>
      </c>
      <c r="M251" s="6" t="n">
        <v/>
      </c>
      <c r="N251" s="6" t="inlineStr">
        <is>
          <t>45</t>
        </is>
      </c>
      <c r="O251" s="6" t="inlineStr">
        <is>
          <t>J-D21</t>
        </is>
      </c>
      <c r="P251" s="6" t="inlineStr">
        <is>
          <t>Dearborn Heights</t>
        </is>
      </c>
      <c r="Q251" s="6" t="inlineStr">
        <is>
          <t>24430 Ford Road, Dearborn Heights, Michigan, 48127</t>
        </is>
      </c>
      <c r="R251" s="6" t="inlineStr"/>
      <c r="S251" s="6" t="inlineStr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</row>
    <row r="252">
      <c r="A252" s="6" t="inlineStr">
        <is>
          <t>Concentra Urgent Care- Novi</t>
        </is>
      </c>
      <c r="B252" s="6" t="inlineStr">
        <is>
          <t>c8be9bcd-087a-4081-93c4-84fb80a7d1d1</t>
        </is>
      </c>
      <c r="C252" s="6" t="inlineStr">
        <is>
          <t>Urgent Care</t>
        </is>
      </c>
      <c r="D252" s="6" t="inlineStr">
        <is>
          <t>Prospect</t>
        </is>
      </c>
      <c r="E252" s="6" t="inlineStr">
        <is>
          <t>Visit / Prospect</t>
        </is>
      </c>
      <c r="F252" s="6" t="n">
        <v>9</v>
      </c>
      <c r="G252" s="6" t="n">
        <v>0</v>
      </c>
      <c r="H252" s="6" t="inlineStr">
        <is>
          <t>0</t>
        </is>
      </c>
      <c r="I252" s="6" t="inlineStr">
        <is>
          <t>0</t>
        </is>
      </c>
      <c r="J252" s="6" t="inlineStr"/>
      <c r="K252" s="6" t="inlineStr">
        <is>
          <t>2026-05-05</t>
        </is>
      </c>
      <c r="L252" s="6" t="inlineStr">
        <is>
          <t>72</t>
        </is>
      </c>
      <c r="M252" s="6" t="n">
        <v/>
      </c>
      <c r="N252" s="6" t="inlineStr">
        <is>
          <t>45</t>
        </is>
      </c>
      <c r="O252" s="6" t="inlineStr">
        <is>
          <t>J-D22</t>
        </is>
      </c>
      <c r="P252" s="6" t="inlineStr">
        <is>
          <t>Novi</t>
        </is>
      </c>
      <c r="Q252" s="6" t="inlineStr">
        <is>
          <t>42875 Grand River Ave, Novi, Michigan, 48375</t>
        </is>
      </c>
      <c r="R252" s="6" t="inlineStr"/>
      <c r="S252" s="6" t="inlineStr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</row>
    <row r="253">
      <c r="A253" s="6" t="inlineStr">
        <is>
          <t>Oakland Rehabilitation Associates</t>
        </is>
      </c>
      <c r="B253" s="6" t="inlineStr">
        <is>
          <t>07-983-0013</t>
        </is>
      </c>
      <c r="C253" s="6" t="inlineStr">
        <is>
          <t>PT</t>
        </is>
      </c>
      <c r="D253" s="6" t="inlineStr">
        <is>
          <t>Prospect</t>
        </is>
      </c>
      <c r="E253" s="6" t="inlineStr">
        <is>
          <t>Visit / Prospect</t>
        </is>
      </c>
      <c r="F253" s="6" t="n">
        <v>9</v>
      </c>
      <c r="G253" s="6" t="n">
        <v>0</v>
      </c>
      <c r="H253" s="6" t="inlineStr">
        <is>
          <t>0</t>
        </is>
      </c>
      <c r="I253" s="6" t="inlineStr">
        <is>
          <t>0</t>
        </is>
      </c>
      <c r="J253" s="6" t="inlineStr"/>
      <c r="K253" s="6" t="inlineStr">
        <is>
          <t>2026-07-15</t>
        </is>
      </c>
      <c r="L253" s="6" t="inlineStr">
        <is>
          <t>1</t>
        </is>
      </c>
      <c r="M253" s="6" t="n">
        <v/>
      </c>
      <c r="N253" s="6" t="inlineStr">
        <is>
          <t>45</t>
        </is>
      </c>
      <c r="O253" s="6" t="inlineStr">
        <is>
          <t>J-D22</t>
        </is>
      </c>
      <c r="P253" s="6" t="inlineStr">
        <is>
          <t>Novi</t>
        </is>
      </c>
      <c r="Q253" s="6" t="inlineStr">
        <is>
          <t>25500 Meadowbrook Rd, Novi, MI, 48375-1878</t>
        </is>
      </c>
      <c r="R253" s="6" t="inlineStr"/>
      <c r="S253" s="6" t="inlineStr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</row>
    <row r="254">
      <c r="A254" s="6" t="inlineStr">
        <is>
          <t>PLYMOUTH CANTON FAMILY HEALTH</t>
        </is>
      </c>
      <c r="B254" s="6" t="inlineStr">
        <is>
          <t>5898f9bd-82c2-4134-a022-d09661f4e923</t>
        </is>
      </c>
      <c r="C254" s="6" t="inlineStr">
        <is>
          <t>PCP</t>
        </is>
      </c>
      <c r="D254" s="6" t="inlineStr">
        <is>
          <t>Prospect</t>
        </is>
      </c>
      <c r="E254" s="6" t="inlineStr">
        <is>
          <t>Visit / Prospect</t>
        </is>
      </c>
      <c r="F254" s="6" t="n">
        <v>9</v>
      </c>
      <c r="G254" s="6" t="n">
        <v>0</v>
      </c>
      <c r="H254" s="6" t="inlineStr">
        <is>
          <t>0</t>
        </is>
      </c>
      <c r="I254" s="6" t="inlineStr">
        <is>
          <t>0</t>
        </is>
      </c>
      <c r="J254" s="6" t="inlineStr"/>
      <c r="K254" s="6" t="inlineStr">
        <is>
          <t>2026-07-02</t>
        </is>
      </c>
      <c r="L254" s="6" t="inlineStr">
        <is>
          <t>14</t>
        </is>
      </c>
      <c r="M254" s="6" t="n">
        <v/>
      </c>
      <c r="N254" s="6" t="inlineStr">
        <is>
          <t>45</t>
        </is>
      </c>
      <c r="O254" s="6" t="inlineStr">
        <is>
          <t>J-D23</t>
        </is>
      </c>
      <c r="P254" s="6" t="inlineStr">
        <is>
          <t>CANTON</t>
        </is>
      </c>
      <c r="Q254" s="6" t="inlineStr">
        <is>
          <t>44633 JOY RD STE 100, CANTON, MI, 48187</t>
        </is>
      </c>
      <c r="R254" s="6" t="inlineStr"/>
      <c r="S254" s="6" t="inlineStr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</row>
    <row r="255">
      <c r="A255" s="6" t="inlineStr">
        <is>
          <t>Gingell Chiropractic</t>
        </is>
      </c>
      <c r="B255" s="6" t="inlineStr">
        <is>
          <t>b6ddaa21-a950-4bdc-bf4e-2fa4a1e3ea3e</t>
        </is>
      </c>
      <c r="C255" s="6" t="inlineStr">
        <is>
          <t>Chiropractor</t>
        </is>
      </c>
      <c r="D255" s="6" t="inlineStr">
        <is>
          <t>Prospect</t>
        </is>
      </c>
      <c r="E255" s="6" t="inlineStr">
        <is>
          <t>Visit / Prospect</t>
        </is>
      </c>
      <c r="F255" s="6" t="n">
        <v>9</v>
      </c>
      <c r="G255" s="6" t="n">
        <v>0</v>
      </c>
      <c r="H255" s="6" t="inlineStr">
        <is>
          <t>0</t>
        </is>
      </c>
      <c r="I255" s="6" t="inlineStr">
        <is>
          <t>0</t>
        </is>
      </c>
      <c r="J255" s="6" t="inlineStr"/>
      <c r="K255" s="6" t="inlineStr">
        <is>
          <t>2026-07-13</t>
        </is>
      </c>
      <c r="L255" s="6" t="inlineStr">
        <is>
          <t>3</t>
        </is>
      </c>
      <c r="M255" s="6" t="n">
        <v/>
      </c>
      <c r="N255" s="6" t="inlineStr">
        <is>
          <t>45</t>
        </is>
      </c>
      <c r="O255" s="6" t="inlineStr">
        <is>
          <t>J-D23</t>
        </is>
      </c>
      <c r="P255" s="6" t="inlineStr">
        <is>
          <t>Plymouth</t>
        </is>
      </c>
      <c r="Q255" s="6" t="inlineStr">
        <is>
          <t>44670 Ann Arbor Road suite 100, Plymouth, Michigan, 48170</t>
        </is>
      </c>
      <c r="R255" s="6" t="inlineStr"/>
      <c r="S255" s="6" t="inlineStr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</row>
    <row r="256">
      <c r="A256" s="6" t="inlineStr">
        <is>
          <t>Ethos Physical Therapy</t>
        </is>
      </c>
      <c r="B256" s="6" t="inlineStr">
        <is>
          <t>afda3784-64a9-4997-bf11-96cff8e40ef6</t>
        </is>
      </c>
      <c r="C256" s="6" t="inlineStr">
        <is>
          <t>PT</t>
        </is>
      </c>
      <c r="D256" s="6" t="inlineStr">
        <is>
          <t>Prospect</t>
        </is>
      </c>
      <c r="E256" s="6" t="inlineStr">
        <is>
          <t>Visit / Prospect</t>
        </is>
      </c>
      <c r="F256" s="6" t="n">
        <v>9</v>
      </c>
      <c r="G256" s="6" t="n">
        <v>0</v>
      </c>
      <c r="H256" s="6" t="inlineStr">
        <is>
          <t>0</t>
        </is>
      </c>
      <c r="I256" s="6" t="inlineStr">
        <is>
          <t>0</t>
        </is>
      </c>
      <c r="J256" s="6" t="inlineStr"/>
      <c r="K256" s="6" t="inlineStr">
        <is>
          <t>2026-07-13</t>
        </is>
      </c>
      <c r="L256" s="6" t="inlineStr">
        <is>
          <t>3</t>
        </is>
      </c>
      <c r="M256" s="6" t="n">
        <v/>
      </c>
      <c r="N256" s="6" t="inlineStr">
        <is>
          <t>45</t>
        </is>
      </c>
      <c r="O256" s="6" t="inlineStr">
        <is>
          <t>J-D23</t>
        </is>
      </c>
      <c r="P256" s="6" t="inlineStr">
        <is>
          <t>Plymouth</t>
        </is>
      </c>
      <c r="Q256" s="6" t="inlineStr">
        <is>
          <t>1250 Plymouth Oaks Boulevard, Plymouth, Michigan, 48170</t>
        </is>
      </c>
      <c r="R256" s="6" t="inlineStr"/>
      <c r="S256" s="6" t="inlineStr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</row>
    <row r="257">
      <c r="A257" s="6" t="inlineStr">
        <is>
          <t>METRO SHORES INTERNAL MEDICINE, PLLC</t>
        </is>
      </c>
      <c r="B257" s="6" t="inlineStr">
        <is>
          <t>0cf65760-cfbd-4029-bb9f-dab45971f652</t>
        </is>
      </c>
      <c r="C257" s="6" t="inlineStr">
        <is>
          <t>Orthopedic</t>
        </is>
      </c>
      <c r="D257" s="6" t="inlineStr">
        <is>
          <t>Prospect</t>
        </is>
      </c>
      <c r="E257" s="6" t="inlineStr">
        <is>
          <t>Visit / Prospect</t>
        </is>
      </c>
      <c r="F257" s="6" t="n">
        <v>9</v>
      </c>
      <c r="G257" s="6" t="n">
        <v>0</v>
      </c>
      <c r="H257" s="6" t="inlineStr">
        <is>
          <t>0</t>
        </is>
      </c>
      <c r="I257" s="6" t="inlineStr">
        <is>
          <t>0</t>
        </is>
      </c>
      <c r="J257" s="6" t="inlineStr"/>
      <c r="K257" s="6" t="inlineStr">
        <is>
          <t>2026-01-12</t>
        </is>
      </c>
      <c r="L257" s="6" t="inlineStr">
        <is>
          <t>185</t>
        </is>
      </c>
      <c r="M257" s="6" t="n">
        <v/>
      </c>
      <c r="N257" s="6" t="inlineStr">
        <is>
          <t>45</t>
        </is>
      </c>
      <c r="O257" s="6" t="inlineStr">
        <is>
          <t>J-D24</t>
        </is>
      </c>
      <c r="P257" s="6" t="inlineStr">
        <is>
          <t>Riverview</t>
        </is>
      </c>
      <c r="Q257" s="6" t="inlineStr">
        <is>
          <t>13909 Pennsylvania Road, Suite B, Riverview, Michigan, 48193</t>
        </is>
      </c>
      <c r="R257" s="6" t="inlineStr"/>
      <c r="S257" s="6" t="inlineStr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</row>
    <row r="258">
      <c r="A258" s="6" t="inlineStr">
        <is>
          <t>FAMILY HEALTH, PC</t>
        </is>
      </c>
      <c r="B258" s="6" t="inlineStr">
        <is>
          <t>84576296-8aed-482f-b425-73ec3d220d21</t>
        </is>
      </c>
      <c r="C258" s="6" t="inlineStr">
        <is>
          <t>Orthopedic</t>
        </is>
      </c>
      <c r="D258" s="6" t="inlineStr">
        <is>
          <t>Prospect</t>
        </is>
      </c>
      <c r="E258" s="6" t="inlineStr">
        <is>
          <t>Visit / Prospect</t>
        </is>
      </c>
      <c r="F258" s="6" t="n">
        <v>9</v>
      </c>
      <c r="G258" s="6" t="n">
        <v>0</v>
      </c>
      <c r="H258" s="6" t="inlineStr">
        <is>
          <t>0</t>
        </is>
      </c>
      <c r="I258" s="6" t="inlineStr">
        <is>
          <t>0</t>
        </is>
      </c>
      <c r="J258" s="6" t="inlineStr"/>
      <c r="K258" s="6" t="inlineStr">
        <is>
          <t>2026-01-12</t>
        </is>
      </c>
      <c r="L258" s="6" t="inlineStr">
        <is>
          <t>185</t>
        </is>
      </c>
      <c r="M258" s="6" t="n">
        <v/>
      </c>
      <c r="N258" s="6" t="inlineStr">
        <is>
          <t>45</t>
        </is>
      </c>
      <c r="O258" s="6" t="inlineStr">
        <is>
          <t>J-D24</t>
        </is>
      </c>
      <c r="P258" s="6" t="inlineStr">
        <is>
          <t>RIVERVIEW</t>
        </is>
      </c>
      <c r="Q258" s="6" t="inlineStr">
        <is>
          <t>19020 FORT ST, RIVERVIEW, MI, 48193</t>
        </is>
      </c>
      <c r="R258" s="6" t="inlineStr"/>
      <c r="S258" s="6" t="inlineStr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</row>
    <row r="259">
      <c r="A259" s="6" t="inlineStr">
        <is>
          <t>WATCH US GROW PEDIATRICS</t>
        </is>
      </c>
      <c r="B259" s="6" t="inlineStr">
        <is>
          <t>ec7d6518-5eb7-4fca-a6b1-325f004d1ea6</t>
        </is>
      </c>
      <c r="C259" s="6" t="inlineStr">
        <is>
          <t>Orthopedic</t>
        </is>
      </c>
      <c r="D259" s="6" t="inlineStr">
        <is>
          <t>Prospect</t>
        </is>
      </c>
      <c r="E259" s="6" t="inlineStr">
        <is>
          <t>Visit / Prospect</t>
        </is>
      </c>
      <c r="F259" s="6" t="n">
        <v>9</v>
      </c>
      <c r="G259" s="6" t="n">
        <v>0</v>
      </c>
      <c r="H259" s="6" t="inlineStr">
        <is>
          <t>0</t>
        </is>
      </c>
      <c r="I259" s="6" t="inlineStr">
        <is>
          <t>0</t>
        </is>
      </c>
      <c r="J259" s="6" t="inlineStr"/>
      <c r="K259" s="6" t="inlineStr">
        <is>
          <t>2026-03-17</t>
        </is>
      </c>
      <c r="L259" s="6" t="inlineStr">
        <is>
          <t>121</t>
        </is>
      </c>
      <c r="M259" s="6" t="n">
        <v/>
      </c>
      <c r="N259" s="6" t="inlineStr">
        <is>
          <t>45</t>
        </is>
      </c>
      <c r="O259" s="6" t="inlineStr">
        <is>
          <t>J-D24</t>
        </is>
      </c>
      <c r="P259" s="6" t="inlineStr">
        <is>
          <t>Trenton</t>
        </is>
      </c>
      <c r="Q259" s="6" t="inlineStr">
        <is>
          <t>2363 West Jefferson Avenue, Trenton, Michigan, 48183</t>
        </is>
      </c>
      <c r="R259" s="6" t="inlineStr"/>
      <c r="S259" s="6" t="inlineStr">
        <is>
          <t>Pediatric (Jul 20 rule) → Review for removal</t>
        </is>
      </c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</row>
    <row r="260">
      <c r="A260" s="6" t="inlineStr">
        <is>
          <t>MORSI PEDIATRICS</t>
        </is>
      </c>
      <c r="B260" s="6" t="inlineStr">
        <is>
          <t>4e0ac17e-b678-4984-b1ba-e7825a2ed78e</t>
        </is>
      </c>
      <c r="C260" s="6" t="inlineStr">
        <is>
          <t>Orthopedic</t>
        </is>
      </c>
      <c r="D260" s="6" t="inlineStr">
        <is>
          <t>Prospect</t>
        </is>
      </c>
      <c r="E260" s="6" t="inlineStr">
        <is>
          <t>Visit / Prospect</t>
        </is>
      </c>
      <c r="F260" s="6" t="n">
        <v>9</v>
      </c>
      <c r="G260" s="6" t="n">
        <v>0</v>
      </c>
      <c r="H260" s="6" t="inlineStr">
        <is>
          <t>0</t>
        </is>
      </c>
      <c r="I260" s="6" t="inlineStr">
        <is>
          <t>0</t>
        </is>
      </c>
      <c r="J260" s="6" t="inlineStr"/>
      <c r="K260" s="6" t="inlineStr">
        <is>
          <t>2026-01-12</t>
        </is>
      </c>
      <c r="L260" s="6" t="inlineStr">
        <is>
          <t>185</t>
        </is>
      </c>
      <c r="M260" s="6" t="n">
        <v/>
      </c>
      <c r="N260" s="6" t="inlineStr">
        <is>
          <t>45</t>
        </is>
      </c>
      <c r="O260" s="6" t="inlineStr">
        <is>
          <t>J-D24</t>
        </is>
      </c>
      <c r="P260" s="6" t="inlineStr">
        <is>
          <t>Riverview</t>
        </is>
      </c>
      <c r="Q260" s="6" t="inlineStr">
        <is>
          <t>14600 King Road, Riverview, Michigan, 48193</t>
        </is>
      </c>
      <c r="R260" s="6" t="inlineStr"/>
      <c r="S260" s="6" t="inlineStr">
        <is>
          <t>Pediatric (Jul 20 rule) → Review for removal</t>
        </is>
      </c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</row>
    <row r="261">
      <c r="A261" s="6" t="inlineStr">
        <is>
          <t>DOWNRIVER INTERNAL MEDICINE, PC</t>
        </is>
      </c>
      <c r="B261" s="6" t="inlineStr">
        <is>
          <t>3dc9219b-6054-4041-8509-f443b1f44add</t>
        </is>
      </c>
      <c r="C261" s="6" t="inlineStr">
        <is>
          <t>Orthopedic</t>
        </is>
      </c>
      <c r="D261" s="6" t="inlineStr">
        <is>
          <t>Prospect</t>
        </is>
      </c>
      <c r="E261" s="6" t="inlineStr">
        <is>
          <t>Visit / Prospect</t>
        </is>
      </c>
      <c r="F261" s="6" t="n">
        <v>9</v>
      </c>
      <c r="G261" s="6" t="n">
        <v>0</v>
      </c>
      <c r="H261" s="6" t="inlineStr">
        <is>
          <t>0</t>
        </is>
      </c>
      <c r="I261" s="6" t="inlineStr">
        <is>
          <t>0</t>
        </is>
      </c>
      <c r="J261" s="6" t="inlineStr"/>
      <c r="K261" s="6" t="inlineStr">
        <is>
          <t>2026-01-12</t>
        </is>
      </c>
      <c r="L261" s="6" t="inlineStr">
        <is>
          <t>185</t>
        </is>
      </c>
      <c r="M261" s="6" t="n">
        <v/>
      </c>
      <c r="N261" s="6" t="inlineStr">
        <is>
          <t>45</t>
        </is>
      </c>
      <c r="O261" s="6" t="inlineStr">
        <is>
          <t>J-D24</t>
        </is>
      </c>
      <c r="P261" s="6" t="inlineStr">
        <is>
          <t>RIVERVIEW</t>
        </is>
      </c>
      <c r="Q261" s="6" t="inlineStr">
        <is>
          <t>14700 KING RD STE A, RIVERVIEW, MI, 48193</t>
        </is>
      </c>
      <c r="R261" s="6" t="inlineStr"/>
      <c r="S261" s="6" t="inlineStr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</row>
    <row r="262">
      <c r="A262" s="6" t="inlineStr">
        <is>
          <t>MIND-Riverview</t>
        </is>
      </c>
      <c r="B262" s="6" t="inlineStr">
        <is>
          <t>f3bc6e0f-edfc-423b-bf9d-2950236219e9</t>
        </is>
      </c>
      <c r="C262" s="6" t="inlineStr">
        <is>
          <t>Orthopedic</t>
        </is>
      </c>
      <c r="D262" s="6" t="inlineStr">
        <is>
          <t>Prospect</t>
        </is>
      </c>
      <c r="E262" s="6" t="inlineStr">
        <is>
          <t>Visit / Prospect</t>
        </is>
      </c>
      <c r="F262" s="6" t="n">
        <v>9</v>
      </c>
      <c r="G262" s="6" t="n">
        <v>0</v>
      </c>
      <c r="H262" s="6" t="inlineStr">
        <is>
          <t>0</t>
        </is>
      </c>
      <c r="I262" s="6" t="inlineStr">
        <is>
          <t>0</t>
        </is>
      </c>
      <c r="J262" s="6" t="inlineStr"/>
      <c r="K262" s="6" t="inlineStr"/>
      <c r="L262" s="6" t="n">
        <v/>
      </c>
      <c r="M262" s="6" t="n">
        <v/>
      </c>
      <c r="N262" s="6" t="inlineStr">
        <is>
          <t>45</t>
        </is>
      </c>
      <c r="O262" s="6" t="inlineStr">
        <is>
          <t>J-D24</t>
        </is>
      </c>
      <c r="P262" s="6" t="inlineStr">
        <is>
          <t>Riverview</t>
        </is>
      </c>
      <c r="Q262" s="6" t="inlineStr">
        <is>
          <t>14750 King Rd, Riverview, Michigan, 48193</t>
        </is>
      </c>
      <c r="R262" s="6" t="inlineStr"/>
      <c r="S262" s="6" t="inlineStr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</row>
    <row r="263">
      <c r="A263" s="6" t="inlineStr">
        <is>
          <t>AMINI HEALTHCARE, PLLC</t>
        </is>
      </c>
      <c r="B263" s="6" t="inlineStr">
        <is>
          <t>51be485c-bce1-4997-8e82-1463313f4617</t>
        </is>
      </c>
      <c r="C263" s="6" t="inlineStr">
        <is>
          <t>Orthopedic</t>
        </is>
      </c>
      <c r="D263" s="6" t="inlineStr">
        <is>
          <t>Prospect</t>
        </is>
      </c>
      <c r="E263" s="6" t="inlineStr">
        <is>
          <t>Visit / Prospect</t>
        </is>
      </c>
      <c r="F263" s="6" t="n">
        <v>9</v>
      </c>
      <c r="G263" s="6" t="n">
        <v>0</v>
      </c>
      <c r="H263" s="6" t="inlineStr">
        <is>
          <t>0</t>
        </is>
      </c>
      <c r="I263" s="6" t="inlineStr">
        <is>
          <t>0</t>
        </is>
      </c>
      <c r="J263" s="6" t="inlineStr"/>
      <c r="K263" s="6" t="inlineStr">
        <is>
          <t>2026-05-29</t>
        </is>
      </c>
      <c r="L263" s="6" t="inlineStr">
        <is>
          <t>48</t>
        </is>
      </c>
      <c r="M263" s="6" t="n">
        <v/>
      </c>
      <c r="N263" s="6" t="inlineStr">
        <is>
          <t>45</t>
        </is>
      </c>
      <c r="O263" s="6" t="inlineStr">
        <is>
          <t>J-D24</t>
        </is>
      </c>
      <c r="P263" s="6" t="inlineStr">
        <is>
          <t>Brownstown Twp</t>
        </is>
      </c>
      <c r="Q263" s="6" t="inlineStr">
        <is>
          <t>19727 Allen Rd, Ste 11, Brownstown Twp, Michigan, 48183</t>
        </is>
      </c>
      <c r="R263" s="6" t="inlineStr"/>
      <c r="S263" s="6" t="inlineStr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</row>
    <row r="264">
      <c r="A264" s="6" t="inlineStr">
        <is>
          <t>WOODHAVEN PEDIATRICS</t>
        </is>
      </c>
      <c r="B264" s="6" t="inlineStr">
        <is>
          <t>e35d1817-e4ef-431a-a979-74b7c8e2c0f0</t>
        </is>
      </c>
      <c r="C264" s="6" t="inlineStr">
        <is>
          <t>Orthopedic</t>
        </is>
      </c>
      <c r="D264" s="6" t="inlineStr">
        <is>
          <t>Prospect</t>
        </is>
      </c>
      <c r="E264" s="6" t="inlineStr">
        <is>
          <t>Visit / Prospect</t>
        </is>
      </c>
      <c r="F264" s="6" t="n">
        <v>9</v>
      </c>
      <c r="G264" s="6" t="n">
        <v>0</v>
      </c>
      <c r="H264" s="6" t="inlineStr">
        <is>
          <t>0</t>
        </is>
      </c>
      <c r="I264" s="6" t="inlineStr">
        <is>
          <t>0</t>
        </is>
      </c>
      <c r="J264" s="6" t="inlineStr"/>
      <c r="K264" s="6" t="inlineStr">
        <is>
          <t>2026-01-29</t>
        </is>
      </c>
      <c r="L264" s="6" t="inlineStr">
        <is>
          <t>168</t>
        </is>
      </c>
      <c r="M264" s="6" t="n">
        <v/>
      </c>
      <c r="N264" s="6" t="inlineStr">
        <is>
          <t>45</t>
        </is>
      </c>
      <c r="O264" s="6" t="inlineStr">
        <is>
          <t>J-D24</t>
        </is>
      </c>
      <c r="P264" s="6" t="inlineStr">
        <is>
          <t>Woodhaven</t>
        </is>
      </c>
      <c r="Q264" s="6" t="inlineStr">
        <is>
          <t>21700 Allen Road, Woodhaven, Michigan, 48183</t>
        </is>
      </c>
      <c r="R264" s="6" t="inlineStr"/>
      <c r="S264" s="6" t="inlineStr">
        <is>
          <t>Pediatric (Jul 20 rule) → Review for removal</t>
        </is>
      </c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</row>
    <row r="265">
      <c r="A265" s="6" t="inlineStr">
        <is>
          <t>Hewitt Road Medical Center</t>
        </is>
      </c>
      <c r="B265" s="6" t="inlineStr">
        <is>
          <t>b2aa2511-acc2-4cc1-a3b6-918eaa998e6e</t>
        </is>
      </c>
      <c r="C265" s="6" t="inlineStr">
        <is>
          <t>PCP</t>
        </is>
      </c>
      <c r="D265" s="6" t="inlineStr">
        <is>
          <t>Prospect</t>
        </is>
      </c>
      <c r="E265" s="6" t="inlineStr">
        <is>
          <t>Visit / Prospect</t>
        </is>
      </c>
      <c r="F265" s="6" t="n">
        <v>9</v>
      </c>
      <c r="G265" s="6" t="n">
        <v>0</v>
      </c>
      <c r="H265" s="6" t="inlineStr">
        <is>
          <t>0</t>
        </is>
      </c>
      <c r="I265" s="6" t="inlineStr">
        <is>
          <t>0</t>
        </is>
      </c>
      <c r="J265" s="6" t="inlineStr"/>
      <c r="K265" s="6" t="inlineStr">
        <is>
          <t>2026-05-18</t>
        </is>
      </c>
      <c r="L265" s="6" t="inlineStr">
        <is>
          <t>59</t>
        </is>
      </c>
      <c r="M265" s="6" t="n">
        <v/>
      </c>
      <c r="N265" s="6" t="inlineStr">
        <is>
          <t>45</t>
        </is>
      </c>
      <c r="O265" s="6" t="inlineStr">
        <is>
          <t>J-D26</t>
        </is>
      </c>
      <c r="P265" s="6" t="inlineStr">
        <is>
          <t>Ypsilanti</t>
        </is>
      </c>
      <c r="Q265" s="6" t="inlineStr">
        <is>
          <t>2236 Packard St, Ypsilanti, Michigan, 48197</t>
        </is>
      </c>
      <c r="R265" s="6" t="inlineStr"/>
      <c r="S265" s="6" t="inlineStr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</row>
    <row r="266">
      <c r="A266" s="6" t="inlineStr">
        <is>
          <t>IHA ARBOR PARK PRIMARY CARE</t>
        </is>
      </c>
      <c r="B266" s="6" t="inlineStr">
        <is>
          <t>dd44661d-7987-4114-b7ad-d9099594baad</t>
        </is>
      </c>
      <c r="C266" s="6" t="inlineStr">
        <is>
          <t>Pain</t>
        </is>
      </c>
      <c r="D266" s="6" t="inlineStr">
        <is>
          <t>Prospect</t>
        </is>
      </c>
      <c r="E266" s="6" t="inlineStr">
        <is>
          <t>Visit / Prospect</t>
        </is>
      </c>
      <c r="F266" s="6" t="n">
        <v>9</v>
      </c>
      <c r="G266" s="6" t="n">
        <v>0</v>
      </c>
      <c r="H266" s="6" t="inlineStr">
        <is>
          <t>0</t>
        </is>
      </c>
      <c r="I266" s="6" t="inlineStr">
        <is>
          <t>0</t>
        </is>
      </c>
      <c r="J266" s="6" t="inlineStr"/>
      <c r="K266" s="6" t="inlineStr">
        <is>
          <t>2026-03-09</t>
        </is>
      </c>
      <c r="L266" s="6" t="inlineStr">
        <is>
          <t>129</t>
        </is>
      </c>
      <c r="M266" s="6" t="n">
        <v/>
      </c>
      <c r="N266" s="6" t="inlineStr">
        <is>
          <t>45</t>
        </is>
      </c>
      <c r="O266" s="6" t="inlineStr">
        <is>
          <t>J-D26</t>
        </is>
      </c>
      <c r="P266" s="6" t="inlineStr">
        <is>
          <t>Ypsilanti</t>
        </is>
      </c>
      <c r="Q266" s="6" t="inlineStr">
        <is>
          <t>4940 W Clark Rd, Ypsilanti, Michigan, 48197</t>
        </is>
      </c>
      <c r="R266" s="6" t="inlineStr"/>
      <c r="S266" s="6" t="inlineStr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</row>
    <row r="267">
      <c r="A267" s="6" t="inlineStr">
        <is>
          <t>Sickels MD, Malcolm</t>
        </is>
      </c>
      <c r="B267" s="6" t="inlineStr">
        <is>
          <t>1104928613</t>
        </is>
      </c>
      <c r="C267" s="6" t="inlineStr">
        <is>
          <t>PCP</t>
        </is>
      </c>
      <c r="D267" s="6" t="inlineStr">
        <is>
          <t>Prospect</t>
        </is>
      </c>
      <c r="E267" s="6" t="inlineStr">
        <is>
          <t>Visit / Prospect</t>
        </is>
      </c>
      <c r="F267" s="6" t="n">
        <v>9</v>
      </c>
      <c r="G267" s="6" t="n">
        <v>0</v>
      </c>
      <c r="H267" s="6" t="inlineStr">
        <is>
          <t>0</t>
        </is>
      </c>
      <c r="I267" s="6" t="inlineStr">
        <is>
          <t>0</t>
        </is>
      </c>
      <c r="J267" s="6" t="inlineStr"/>
      <c r="K267" s="6" t="inlineStr">
        <is>
          <t>2026-05-27</t>
        </is>
      </c>
      <c r="L267" s="6" t="inlineStr">
        <is>
          <t>50</t>
        </is>
      </c>
      <c r="M267" s="6" t="n">
        <v/>
      </c>
      <c r="N267" s="6" t="inlineStr">
        <is>
          <t>45</t>
        </is>
      </c>
      <c r="O267" s="6" t="inlineStr">
        <is>
          <t>J-D27</t>
        </is>
      </c>
      <c r="P267" s="6" t="inlineStr">
        <is>
          <t>Ann Arbor</t>
        </is>
      </c>
      <c r="Q267" s="6" t="inlineStr">
        <is>
          <t>210 Little Lake Dr, Ann Arbor, MI, 481036218</t>
        </is>
      </c>
      <c r="R267" s="6" t="inlineStr"/>
      <c r="S267" s="6" t="inlineStr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</row>
    <row r="268">
      <c r="A268" s="6" t="inlineStr">
        <is>
          <t>NASSER SUKHON, MD, PC</t>
        </is>
      </c>
      <c r="B268" s="6" t="inlineStr">
        <is>
          <t>ea15df9a-9ba3-4096-82f0-78f0281ba185</t>
        </is>
      </c>
      <c r="C268" s="6" t="inlineStr">
        <is>
          <t>Orthopedic</t>
        </is>
      </c>
      <c r="D268" s="6" t="inlineStr">
        <is>
          <t>Prospect</t>
        </is>
      </c>
      <c r="E268" s="6" t="inlineStr">
        <is>
          <t>Visit / Prospect</t>
        </is>
      </c>
      <c r="F268" s="6" t="n">
        <v>9</v>
      </c>
      <c r="G268" s="6" t="n">
        <v>0</v>
      </c>
      <c r="H268" s="6" t="inlineStr">
        <is>
          <t>0</t>
        </is>
      </c>
      <c r="I268" s="6" t="inlineStr">
        <is>
          <t>0</t>
        </is>
      </c>
      <c r="J268" s="6" t="inlineStr"/>
      <c r="K268" s="6" t="inlineStr">
        <is>
          <t>2026-01-23</t>
        </is>
      </c>
      <c r="L268" s="6" t="inlineStr">
        <is>
          <t>174</t>
        </is>
      </c>
      <c r="M268" s="6" t="n">
        <v/>
      </c>
      <c r="N268" s="6" t="inlineStr">
        <is>
          <t>45</t>
        </is>
      </c>
      <c r="O268" s="6" t="inlineStr">
        <is>
          <t>J-D27</t>
        </is>
      </c>
      <c r="P268" s="6" t="inlineStr">
        <is>
          <t>Ann Arbor</t>
        </is>
      </c>
      <c r="Q268" s="6" t="inlineStr">
        <is>
          <t>3055 Plymouth Road, Ann Arbor, Michigan, 48105</t>
        </is>
      </c>
      <c r="R268" s="6" t="inlineStr"/>
      <c r="S268" s="6" t="inlineStr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</row>
    <row r="269">
      <c r="A269" s="6" t="inlineStr">
        <is>
          <t>Partners in internal medicine</t>
        </is>
      </c>
      <c r="B269" s="6" t="inlineStr">
        <is>
          <t>786ed37c-07e8-4c29-9917-ecab0fe8d600</t>
        </is>
      </c>
      <c r="C269" s="6" t="inlineStr">
        <is>
          <t>PCP</t>
        </is>
      </c>
      <c r="D269" s="6" t="inlineStr">
        <is>
          <t>Prospect</t>
        </is>
      </c>
      <c r="E269" s="6" t="inlineStr">
        <is>
          <t>Visit / Prospect</t>
        </is>
      </c>
      <c r="F269" s="6" t="n">
        <v>9</v>
      </c>
      <c r="G269" s="6" t="n">
        <v>0</v>
      </c>
      <c r="H269" s="6" t="inlineStr">
        <is>
          <t>0</t>
        </is>
      </c>
      <c r="I269" s="6" t="inlineStr">
        <is>
          <t>0</t>
        </is>
      </c>
      <c r="J269" s="6" t="inlineStr"/>
      <c r="K269" s="6" t="inlineStr">
        <is>
          <t>2026-05-08</t>
        </is>
      </c>
      <c r="L269" s="6" t="inlineStr">
        <is>
          <t>69</t>
        </is>
      </c>
      <c r="M269" s="6" t="n">
        <v/>
      </c>
      <c r="N269" s="6" t="inlineStr">
        <is>
          <t>45</t>
        </is>
      </c>
      <c r="O269" s="6" t="inlineStr">
        <is>
          <t>J-D27</t>
        </is>
      </c>
      <c r="P269" s="6" t="inlineStr">
        <is>
          <t>Ann Arbor</t>
        </is>
      </c>
      <c r="Q269" s="6" t="inlineStr">
        <is>
          <t>2200 Green Road, Ann Arbor, Michigan, 48105</t>
        </is>
      </c>
      <c r="R269" s="6" t="inlineStr"/>
      <c r="S269" s="6" t="inlineStr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</row>
    <row r="270">
      <c r="A270" s="6" t="inlineStr">
        <is>
          <t>Adult Medicine &amp; Pediatrics at East Ann Arbor Health and Geriatrics Center</t>
        </is>
      </c>
      <c r="B270" s="6" t="inlineStr">
        <is>
          <t>0d9592a4-3759-4da3-82b0-9e26777daf52</t>
        </is>
      </c>
      <c r="C270" s="6" t="inlineStr">
        <is>
          <t>Orthopedic</t>
        </is>
      </c>
      <c r="D270" s="6" t="inlineStr">
        <is>
          <t>Prospect</t>
        </is>
      </c>
      <c r="E270" s="6" t="inlineStr">
        <is>
          <t>Visit / Prospect</t>
        </is>
      </c>
      <c r="F270" s="6" t="n">
        <v>9</v>
      </c>
      <c r="G270" s="6" t="n">
        <v>0</v>
      </c>
      <c r="H270" s="6" t="inlineStr">
        <is>
          <t>0</t>
        </is>
      </c>
      <c r="I270" s="6" t="inlineStr">
        <is>
          <t>0</t>
        </is>
      </c>
      <c r="J270" s="6" t="inlineStr"/>
      <c r="K270" s="6" t="inlineStr">
        <is>
          <t>2026-04-15</t>
        </is>
      </c>
      <c r="L270" s="6" t="inlineStr">
        <is>
          <t>92</t>
        </is>
      </c>
      <c r="M270" s="6" t="n">
        <v/>
      </c>
      <c r="N270" s="6" t="inlineStr">
        <is>
          <t>45</t>
        </is>
      </c>
      <c r="O270" s="6" t="inlineStr">
        <is>
          <t>J-D27</t>
        </is>
      </c>
      <c r="P270" s="6" t="inlineStr">
        <is>
          <t>Ann Arbor</t>
        </is>
      </c>
      <c r="Q270" s="6" t="inlineStr">
        <is>
          <t>4260 Plymouth Rd, Ann Arbor, Michigan, 48105</t>
        </is>
      </c>
      <c r="R270" s="6" t="inlineStr"/>
      <c r="S270" s="6" t="inlineStr">
        <is>
          <t>Pediatric (Jul 20 rule) → Review for removal</t>
        </is>
      </c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</row>
    <row r="271">
      <c r="A271" s="6" t="inlineStr">
        <is>
          <t>CHILD AND ADOLESCENT CENTER, PC</t>
        </is>
      </c>
      <c r="B271" s="6" t="inlineStr">
        <is>
          <t>24d003db-fb8e-4e51-adb0-77b396eef5de</t>
        </is>
      </c>
      <c r="C271" s="6" t="inlineStr">
        <is>
          <t>Orthopedic</t>
        </is>
      </c>
      <c r="D271" s="6" t="inlineStr">
        <is>
          <t>Prospect</t>
        </is>
      </c>
      <c r="E271" s="6" t="inlineStr">
        <is>
          <t>Visit / Prospect</t>
        </is>
      </c>
      <c r="F271" s="6" t="n">
        <v>9</v>
      </c>
      <c r="G271" s="6" t="n">
        <v>0</v>
      </c>
      <c r="H271" s="6" t="inlineStr">
        <is>
          <t>0</t>
        </is>
      </c>
      <c r="I271" s="6" t="inlineStr">
        <is>
          <t>0</t>
        </is>
      </c>
      <c r="J271" s="6" t="inlineStr"/>
      <c r="K271" s="6" t="inlineStr">
        <is>
          <t>2025-12-02</t>
        </is>
      </c>
      <c r="L271" s="6" t="inlineStr">
        <is>
          <t>226</t>
        </is>
      </c>
      <c r="M271" s="6" t="n">
        <v/>
      </c>
      <c r="N271" s="6" t="inlineStr">
        <is>
          <t>45</t>
        </is>
      </c>
      <c r="O271" s="6" t="inlineStr">
        <is>
          <t>J-D28</t>
        </is>
      </c>
      <c r="P271" s="6" t="inlineStr">
        <is>
          <t>Southgate</t>
        </is>
      </c>
      <c r="Q271" s="6" t="inlineStr">
        <is>
          <t>15350 Trenton Road, Southgate, Michigan, 48195</t>
        </is>
      </c>
      <c r="R271" s="6" t="inlineStr"/>
      <c r="S271" s="6" t="inlineStr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</row>
    <row r="272">
      <c r="A272" s="6" t="inlineStr">
        <is>
          <t>PARK PLACE FAMILY PRACTICE AND INTERNAL MEDICINE</t>
        </is>
      </c>
      <c r="B272" s="6" t="inlineStr">
        <is>
          <t>f8f13fd9-1135-4385-b6ba-7542d202b63a</t>
        </is>
      </c>
      <c r="C272" s="6" t="inlineStr">
        <is>
          <t>Pain</t>
        </is>
      </c>
      <c r="D272" s="6" t="inlineStr">
        <is>
          <t>Prospect</t>
        </is>
      </c>
      <c r="E272" s="6" t="inlineStr">
        <is>
          <t>Visit / Prospect</t>
        </is>
      </c>
      <c r="F272" s="6" t="n">
        <v>9</v>
      </c>
      <c r="G272" s="6" t="n">
        <v>0</v>
      </c>
      <c r="H272" s="6" t="inlineStr">
        <is>
          <t>0</t>
        </is>
      </c>
      <c r="I272" s="6" t="inlineStr">
        <is>
          <t>0</t>
        </is>
      </c>
      <c r="J272" s="6" t="inlineStr"/>
      <c r="K272" s="6" t="inlineStr">
        <is>
          <t>2026-04-08</t>
        </is>
      </c>
      <c r="L272" s="6" t="inlineStr">
        <is>
          <t>99</t>
        </is>
      </c>
      <c r="M272" s="6" t="n">
        <v/>
      </c>
      <c r="N272" s="6" t="inlineStr">
        <is>
          <t>45</t>
        </is>
      </c>
      <c r="O272" s="6" t="inlineStr">
        <is>
          <t>J-D28</t>
        </is>
      </c>
      <c r="P272" s="6" t="inlineStr">
        <is>
          <t>TAYLOR</t>
        </is>
      </c>
      <c r="Q272" s="6" t="inlineStr">
        <is>
          <t>12701 Telegraph Rd, ste 103, TAYLOR, Michigan, 48180</t>
        </is>
      </c>
      <c r="R272" s="6" t="inlineStr"/>
      <c r="S272" s="6" t="inlineStr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</row>
    <row r="273">
      <c r="A273" s="6" t="inlineStr">
        <is>
          <t>King Medical Center</t>
        </is>
      </c>
      <c r="B273" s="6" t="inlineStr">
        <is>
          <t>4f201b61-2c2d-4995-b82e-92f3bdaed2bb</t>
        </is>
      </c>
      <c r="C273" s="6" t="inlineStr">
        <is>
          <t>PCP</t>
        </is>
      </c>
      <c r="D273" s="6" t="inlineStr">
        <is>
          <t>Prospect</t>
        </is>
      </c>
      <c r="E273" s="6" t="inlineStr">
        <is>
          <t>Visit / Prospect</t>
        </is>
      </c>
      <c r="F273" s="6" t="n">
        <v>9</v>
      </c>
      <c r="G273" s="6" t="n">
        <v>0</v>
      </c>
      <c r="H273" s="6" t="inlineStr">
        <is>
          <t>0</t>
        </is>
      </c>
      <c r="I273" s="6" t="inlineStr">
        <is>
          <t>0</t>
        </is>
      </c>
      <c r="J273" s="6" t="inlineStr"/>
      <c r="K273" s="6" t="inlineStr">
        <is>
          <t>2026-05-29</t>
        </is>
      </c>
      <c r="L273" s="6" t="inlineStr">
        <is>
          <t>48</t>
        </is>
      </c>
      <c r="M273" s="6" t="n">
        <v/>
      </c>
      <c r="N273" s="6" t="inlineStr">
        <is>
          <t>45</t>
        </is>
      </c>
      <c r="O273" s="6" t="inlineStr">
        <is>
          <t>J-D28</t>
        </is>
      </c>
      <c r="P273" s="6" t="inlineStr">
        <is>
          <t>BROWNSTOWN</t>
        </is>
      </c>
      <c r="Q273" s="6" t="inlineStr">
        <is>
          <t>22990 KING RD, BROWNSTOWN, MI, 48183</t>
        </is>
      </c>
      <c r="R273" s="6" t="inlineStr"/>
      <c r="S273" s="6" t="inlineStr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</row>
    <row r="274">
      <c r="A274" s="6" t="inlineStr">
        <is>
          <t>HENRY FORD HEALTH</t>
        </is>
      </c>
      <c r="B274" s="6" t="inlineStr">
        <is>
          <t>acaff0ce-7a7b-4911-a838-13246bcf618a</t>
        </is>
      </c>
      <c r="C274" s="6" t="inlineStr">
        <is>
          <t>PCP</t>
        </is>
      </c>
      <c r="D274" s="6" t="inlineStr">
        <is>
          <t>Prospect</t>
        </is>
      </c>
      <c r="E274" s="6" t="inlineStr">
        <is>
          <t>Visit / Prospect</t>
        </is>
      </c>
      <c r="F274" s="6" t="n">
        <v>9</v>
      </c>
      <c r="G274" s="6" t="n">
        <v>0</v>
      </c>
      <c r="H274" s="6" t="inlineStr">
        <is>
          <t>0</t>
        </is>
      </c>
      <c r="I274" s="6" t="inlineStr">
        <is>
          <t>0</t>
        </is>
      </c>
      <c r="J274" s="6" t="inlineStr"/>
      <c r="K274" s="6" t="inlineStr">
        <is>
          <t>2026-05-29</t>
        </is>
      </c>
      <c r="L274" s="6" t="inlineStr">
        <is>
          <t>48</t>
        </is>
      </c>
      <c r="M274" s="6" t="n">
        <v/>
      </c>
      <c r="N274" s="6" t="inlineStr">
        <is>
          <t>45</t>
        </is>
      </c>
      <c r="O274" s="6" t="inlineStr">
        <is>
          <t>J-D28</t>
        </is>
      </c>
      <c r="P274" s="6" t="inlineStr">
        <is>
          <t>BROWNSTOWN</t>
        </is>
      </c>
      <c r="Q274" s="6" t="inlineStr">
        <is>
          <t>23050 WEST RD STE 260, BROWNSTOWN, MI, 48183</t>
        </is>
      </c>
      <c r="R274" s="6" t="inlineStr"/>
      <c r="S274" s="6" t="inlineStr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</row>
    <row r="275">
      <c r="A275" s="6" t="inlineStr">
        <is>
          <t>Evolve Medical - Dearborn</t>
        </is>
      </c>
      <c r="B275" s="6" t="inlineStr">
        <is>
          <t>4b035e24-272d-49e7-9bce-cd8929fbcb0a</t>
        </is>
      </c>
      <c r="C275" s="6" t="inlineStr">
        <is>
          <t>PCP</t>
        </is>
      </c>
      <c r="D275" s="6" t="inlineStr">
        <is>
          <t>Prospect</t>
        </is>
      </c>
      <c r="E275" s="6" t="inlineStr">
        <is>
          <t>Visit / Prospect</t>
        </is>
      </c>
      <c r="F275" s="6" t="n">
        <v>9</v>
      </c>
      <c r="G275" s="6" t="n">
        <v>0</v>
      </c>
      <c r="H275" s="6" t="inlineStr">
        <is>
          <t>0</t>
        </is>
      </c>
      <c r="I275" s="6" t="inlineStr">
        <is>
          <t>0</t>
        </is>
      </c>
      <c r="J275" s="6" t="inlineStr"/>
      <c r="K275" s="6" t="inlineStr">
        <is>
          <t>2026-06-17</t>
        </is>
      </c>
      <c r="L275" s="6" t="inlineStr">
        <is>
          <t>29</t>
        </is>
      </c>
      <c r="M275" s="6" t="n">
        <v/>
      </c>
      <c r="N275" s="6" t="inlineStr">
        <is>
          <t>45</t>
        </is>
      </c>
      <c r="O275" s="6" t="inlineStr">
        <is>
          <t>J-D29</t>
        </is>
      </c>
      <c r="P275" s="6" t="inlineStr">
        <is>
          <t>Dearborn</t>
        </is>
      </c>
      <c r="Q275" s="6" t="inlineStr">
        <is>
          <t>9925 Dix Ave, Dearborn, Michigan, 48120</t>
        </is>
      </c>
      <c r="R275" s="6" t="inlineStr"/>
      <c r="S275" s="6" t="inlineStr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</row>
    <row r="276">
      <c r="A276" s="6" t="inlineStr">
        <is>
          <t>GREENFIELD MEDICAL CENTER OF DEARBORN, PC</t>
        </is>
      </c>
      <c r="B276" s="6" t="inlineStr">
        <is>
          <t>7e17dd91-d956-482b-a527-df4bc27f78c0</t>
        </is>
      </c>
      <c r="C276" s="6" t="inlineStr">
        <is>
          <t>Pain</t>
        </is>
      </c>
      <c r="D276" s="6" t="inlineStr">
        <is>
          <t>Prospect</t>
        </is>
      </c>
      <c r="E276" s="6" t="inlineStr">
        <is>
          <t>Visit / Prospect</t>
        </is>
      </c>
      <c r="F276" s="6" t="n">
        <v>9</v>
      </c>
      <c r="G276" s="6" t="n">
        <v>0</v>
      </c>
      <c r="H276" s="6" t="inlineStr">
        <is>
          <t>0</t>
        </is>
      </c>
      <c r="I276" s="6" t="inlineStr">
        <is>
          <t>0</t>
        </is>
      </c>
      <c r="J276" s="6" t="inlineStr"/>
      <c r="K276" s="6" t="inlineStr">
        <is>
          <t>2026-05-01</t>
        </is>
      </c>
      <c r="L276" s="6" t="inlineStr">
        <is>
          <t>76</t>
        </is>
      </c>
      <c r="M276" s="6" t="n">
        <v/>
      </c>
      <c r="N276" s="6" t="inlineStr">
        <is>
          <t>45</t>
        </is>
      </c>
      <c r="O276" s="6" t="inlineStr">
        <is>
          <t>J-D29</t>
        </is>
      </c>
      <c r="P276" s="6" t="inlineStr">
        <is>
          <t>DEARBORN</t>
        </is>
      </c>
      <c r="Q276" s="6" t="inlineStr">
        <is>
          <t>5220 OAKMAN BLVD, DEARBORN, Michigan, 48126</t>
        </is>
      </c>
      <c r="R276" s="6" t="inlineStr"/>
      <c r="S276" s="6" t="inlineStr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</row>
    <row r="277">
      <c r="A277" s="6" t="inlineStr">
        <is>
          <t>MDVIP Ann Arbor</t>
        </is>
      </c>
      <c r="B277" s="6" t="inlineStr">
        <is>
          <t>3e5b0f6f-1070-460a-8daf-23b4444f4243</t>
        </is>
      </c>
      <c r="C277" s="6" t="inlineStr">
        <is>
          <t>PCP</t>
        </is>
      </c>
      <c r="D277" s="6" t="inlineStr">
        <is>
          <t>Prospect</t>
        </is>
      </c>
      <c r="E277" s="6" t="inlineStr">
        <is>
          <t>Visit / Prospect</t>
        </is>
      </c>
      <c r="F277" s="6" t="n">
        <v>9</v>
      </c>
      <c r="G277" s="6" t="n">
        <v>0</v>
      </c>
      <c r="H277" s="6" t="inlineStr">
        <is>
          <t>0</t>
        </is>
      </c>
      <c r="I277" s="6" t="inlineStr">
        <is>
          <t>0</t>
        </is>
      </c>
      <c r="J277" s="6" t="inlineStr"/>
      <c r="K277" s="6" t="inlineStr">
        <is>
          <t>2026-05-22</t>
        </is>
      </c>
      <c r="L277" s="6" t="inlineStr">
        <is>
          <t>55</t>
        </is>
      </c>
      <c r="M277" s="6" t="n">
        <v/>
      </c>
      <c r="N277" s="6" t="inlineStr">
        <is>
          <t>45</t>
        </is>
      </c>
      <c r="O277" s="6" t="inlineStr">
        <is>
          <t>J-D30</t>
        </is>
      </c>
      <c r="P277" s="6" t="inlineStr">
        <is>
          <t>Ann Arbor</t>
        </is>
      </c>
      <c r="Q277" s="6" t="inlineStr">
        <is>
          <t>3820 Packard St, Ann Arbor, Michigan, 48108</t>
        </is>
      </c>
      <c r="R277" s="6" t="inlineStr"/>
      <c r="S277" s="6" t="inlineStr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</row>
    <row r="278">
      <c r="A278" s="6" t="inlineStr">
        <is>
          <t>Integrative Healthcare Providers</t>
        </is>
      </c>
      <c r="B278" s="6" t="inlineStr">
        <is>
          <t>b71dbc77-c928-4d75-aa56-abeb679ce4f0</t>
        </is>
      </c>
      <c r="C278" s="6" t="inlineStr">
        <is>
          <t>Pain</t>
        </is>
      </c>
      <c r="D278" s="6" t="inlineStr">
        <is>
          <t>Prospect</t>
        </is>
      </c>
      <c r="E278" s="6" t="inlineStr">
        <is>
          <t>Visit / Prospect</t>
        </is>
      </c>
      <c r="F278" s="6" t="n">
        <v>9</v>
      </c>
      <c r="G278" s="6" t="n">
        <v>0</v>
      </c>
      <c r="H278" s="6" t="inlineStr">
        <is>
          <t>0</t>
        </is>
      </c>
      <c r="I278" s="6" t="inlineStr">
        <is>
          <t>0</t>
        </is>
      </c>
      <c r="J278" s="6" t="inlineStr"/>
      <c r="K278" s="6" t="inlineStr">
        <is>
          <t>2026-04-03</t>
        </is>
      </c>
      <c r="L278" s="6" t="inlineStr">
        <is>
          <t>104</t>
        </is>
      </c>
      <c r="M278" s="6" t="n">
        <v/>
      </c>
      <c r="N278" s="6" t="inlineStr">
        <is>
          <t>45</t>
        </is>
      </c>
      <c r="O278" s="6" t="inlineStr">
        <is>
          <t>J-D30</t>
        </is>
      </c>
      <c r="P278" s="6" t="inlineStr">
        <is>
          <t>Ann Arbor</t>
        </is>
      </c>
      <c r="Q278" s="6" t="inlineStr">
        <is>
          <t>2800 S State St, suite 215, Ann Arbor, Michigan, 48104</t>
        </is>
      </c>
      <c r="R278" s="6" t="inlineStr"/>
      <c r="S278" s="6" t="inlineStr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</row>
    <row r="279">
      <c r="A279" s="6" t="inlineStr">
        <is>
          <t>STEINER HEALTH</t>
        </is>
      </c>
      <c r="B279" s="6" t="inlineStr">
        <is>
          <t>b85b8dcd-305b-4649-b89f-98d6d21ef017</t>
        </is>
      </c>
      <c r="C279" s="6" t="inlineStr">
        <is>
          <t>PCP</t>
        </is>
      </c>
      <c r="D279" s="6" t="inlineStr">
        <is>
          <t>Prospect</t>
        </is>
      </c>
      <c r="E279" s="6" t="inlineStr">
        <is>
          <t>Visit / Prospect</t>
        </is>
      </c>
      <c r="F279" s="6" t="n">
        <v>9</v>
      </c>
      <c r="G279" s="6" t="n">
        <v>0</v>
      </c>
      <c r="H279" s="6" t="inlineStr">
        <is>
          <t>0</t>
        </is>
      </c>
      <c r="I279" s="6" t="inlineStr">
        <is>
          <t>0</t>
        </is>
      </c>
      <c r="J279" s="6" t="inlineStr"/>
      <c r="K279" s="6" t="inlineStr">
        <is>
          <t>2026-05-08</t>
        </is>
      </c>
      <c r="L279" s="6" t="inlineStr">
        <is>
          <t>69</t>
        </is>
      </c>
      <c r="M279" s="6" t="n">
        <v/>
      </c>
      <c r="N279" s="6" t="inlineStr">
        <is>
          <t>45</t>
        </is>
      </c>
      <c r="O279" s="6" t="inlineStr">
        <is>
          <t>J-D30</t>
        </is>
      </c>
      <c r="P279" s="6" t="inlineStr">
        <is>
          <t>ANN ARBOR</t>
        </is>
      </c>
      <c r="Q279" s="6" t="inlineStr">
        <is>
          <t>1825 W STADIUM BLVD, ANN ARBOR, MI, 48103</t>
        </is>
      </c>
      <c r="R279" s="6" t="inlineStr"/>
      <c r="S279" s="6" t="inlineStr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</row>
    <row r="280">
      <c r="A280" s="6" t="inlineStr">
        <is>
          <t>Krasnick Regenerative Medicine</t>
        </is>
      </c>
      <c r="B280" s="6" t="inlineStr">
        <is>
          <t>1497765077</t>
        </is>
      </c>
      <c r="C280" s="6" t="inlineStr">
        <is>
          <t>Pain</t>
        </is>
      </c>
      <c r="D280" s="6" t="inlineStr">
        <is>
          <t>Prospect</t>
        </is>
      </c>
      <c r="E280" s="6" t="inlineStr">
        <is>
          <t>Visit / Prospect</t>
        </is>
      </c>
      <c r="F280" s="6" t="n">
        <v>9</v>
      </c>
      <c r="G280" s="6" t="n">
        <v>0</v>
      </c>
      <c r="H280" s="6" t="inlineStr">
        <is>
          <t>0</t>
        </is>
      </c>
      <c r="I280" s="6" t="inlineStr">
        <is>
          <t>0</t>
        </is>
      </c>
      <c r="J280" s="6" t="inlineStr"/>
      <c r="K280" s="6" t="inlineStr">
        <is>
          <t>2026-05-27</t>
        </is>
      </c>
      <c r="L280" s="6" t="inlineStr">
        <is>
          <t>50</t>
        </is>
      </c>
      <c r="M280" s="6" t="n">
        <v/>
      </c>
      <c r="N280" s="6" t="inlineStr">
        <is>
          <t>45</t>
        </is>
      </c>
      <c r="O280" s="6" t="inlineStr">
        <is>
          <t>J-D30</t>
        </is>
      </c>
      <c r="P280" s="6" t="inlineStr">
        <is>
          <t>Ann Arbor</t>
        </is>
      </c>
      <c r="Q280" s="6" t="inlineStr">
        <is>
          <t>210 Little Lake Drive, Suite 8, Ann Arbor, MI, 48103</t>
        </is>
      </c>
      <c r="R280" s="6" t="inlineStr"/>
      <c r="S280" s="6" t="inlineStr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</row>
    <row r="281">
      <c r="A281" s="6" t="inlineStr">
        <is>
          <t>TAYLOR INTERNAL MEDICINE ASSOCIATES, PC</t>
        </is>
      </c>
      <c r="B281" s="6" t="inlineStr">
        <is>
          <t>86a4b3e7-b92f-463a-99a6-18f31f98daad</t>
        </is>
      </c>
      <c r="C281" s="6" t="inlineStr">
        <is>
          <t>PCP</t>
        </is>
      </c>
      <c r="D281" s="6" t="inlineStr">
        <is>
          <t>Prospect</t>
        </is>
      </c>
      <c r="E281" s="6" t="inlineStr">
        <is>
          <t>Visit / Prospect</t>
        </is>
      </c>
      <c r="F281" s="6" t="n">
        <v>9</v>
      </c>
      <c r="G281" s="6" t="n">
        <v>0</v>
      </c>
      <c r="H281" s="6" t="inlineStr">
        <is>
          <t>0</t>
        </is>
      </c>
      <c r="I281" s="6" t="inlineStr">
        <is>
          <t>0</t>
        </is>
      </c>
      <c r="J281" s="6" t="inlineStr"/>
      <c r="K281" s="6" t="inlineStr">
        <is>
          <t>2026-06-29</t>
        </is>
      </c>
      <c r="L281" s="6" t="inlineStr">
        <is>
          <t>17</t>
        </is>
      </c>
      <c r="M281" s="6" t="n">
        <v/>
      </c>
      <c r="N281" s="6" t="inlineStr">
        <is>
          <t>45</t>
        </is>
      </c>
      <c r="O281" s="6" t="inlineStr">
        <is>
          <t>J-D31</t>
        </is>
      </c>
      <c r="P281" s="6" t="inlineStr">
        <is>
          <t>TAYLOR</t>
        </is>
      </c>
      <c r="Q281" s="6" t="inlineStr">
        <is>
          <t>23300 ECORSE RD, TAYLOR, MI, 48180</t>
        </is>
      </c>
      <c r="R281" s="6" t="inlineStr"/>
      <c r="S281" s="6" t="inlineStr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</row>
    <row r="282">
      <c r="A282" s="6" t="inlineStr">
        <is>
          <t>PROGRESSIVE HEALTH CARE, PC</t>
        </is>
      </c>
      <c r="B282" s="6" t="inlineStr">
        <is>
          <t>8b50745f-923b-4436-a8d1-06d7cdd65930</t>
        </is>
      </c>
      <c r="C282" s="6" t="inlineStr">
        <is>
          <t>PCP</t>
        </is>
      </c>
      <c r="D282" s="6" t="inlineStr">
        <is>
          <t>Prospect</t>
        </is>
      </c>
      <c r="E282" s="6" t="inlineStr">
        <is>
          <t>Visit / Prospect</t>
        </is>
      </c>
      <c r="F282" s="6" t="n">
        <v>9</v>
      </c>
      <c r="G282" s="6" t="n">
        <v>0</v>
      </c>
      <c r="H282" s="6" t="inlineStr">
        <is>
          <t>0</t>
        </is>
      </c>
      <c r="I282" s="6" t="inlineStr">
        <is>
          <t>0</t>
        </is>
      </c>
      <c r="J282" s="6" t="inlineStr"/>
      <c r="K282" s="6" t="inlineStr">
        <is>
          <t>2026-06-29</t>
        </is>
      </c>
      <c r="L282" s="6" t="inlineStr">
        <is>
          <t>17</t>
        </is>
      </c>
      <c r="M282" s="6" t="n">
        <v/>
      </c>
      <c r="N282" s="6" t="inlineStr">
        <is>
          <t>45</t>
        </is>
      </c>
      <c r="O282" s="6" t="inlineStr">
        <is>
          <t>J-D31</t>
        </is>
      </c>
      <c r="P282" s="6" t="inlineStr">
        <is>
          <t>TAYLOR</t>
        </is>
      </c>
      <c r="Q282" s="6" t="inlineStr">
        <is>
          <t>22021 ECORSE RD, TAYLOR, MI, 48180</t>
        </is>
      </c>
      <c r="R282" s="6" t="inlineStr"/>
      <c r="S282" s="6" t="inlineStr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</row>
    <row r="283">
      <c r="A283" s="6" t="inlineStr">
        <is>
          <t>AMC Primary Care</t>
        </is>
      </c>
      <c r="B283" s="6" t="inlineStr">
        <is>
          <t>7496bfb3-d517-49b6-8b2f-1e99919270ca</t>
        </is>
      </c>
      <c r="C283" s="6" t="inlineStr">
        <is>
          <t>PCP</t>
        </is>
      </c>
      <c r="D283" s="6" t="inlineStr">
        <is>
          <t>Prospect</t>
        </is>
      </c>
      <c r="E283" s="6" t="inlineStr">
        <is>
          <t>Visit / Prospect</t>
        </is>
      </c>
      <c r="F283" s="6" t="n">
        <v>9</v>
      </c>
      <c r="G283" s="6" t="n">
        <v>0</v>
      </c>
      <c r="H283" s="6" t="inlineStr">
        <is>
          <t>0</t>
        </is>
      </c>
      <c r="I283" s="6" t="inlineStr">
        <is>
          <t>0</t>
        </is>
      </c>
      <c r="J283" s="6" t="inlineStr"/>
      <c r="K283" s="6" t="inlineStr">
        <is>
          <t>2026-06-08</t>
        </is>
      </c>
      <c r="L283" s="6" t="inlineStr">
        <is>
          <t>38</t>
        </is>
      </c>
      <c r="M283" s="6" t="n">
        <v/>
      </c>
      <c r="N283" s="6" t="inlineStr">
        <is>
          <t>45</t>
        </is>
      </c>
      <c r="O283" s="6" t="inlineStr">
        <is>
          <t>J-D31</t>
        </is>
      </c>
      <c r="P283" s="6" t="inlineStr">
        <is>
          <t>Wyandotte</t>
        </is>
      </c>
      <c r="Q283" s="6" t="inlineStr">
        <is>
          <t>13650 Michigan 85, Wyandotte, Michigan, 48192</t>
        </is>
      </c>
      <c r="R283" s="6" t="inlineStr"/>
      <c r="S283" s="6" t="inlineStr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</row>
    <row r="284">
      <c r="A284" s="6" t="inlineStr">
        <is>
          <t>DOWN RIVER MEDICAL GROUP</t>
        </is>
      </c>
      <c r="B284" s="6" t="inlineStr">
        <is>
          <t>e88886fb-60ef-4d4e-8d44-578baf30fd25</t>
        </is>
      </c>
      <c r="C284" s="6" t="inlineStr">
        <is>
          <t>PCP</t>
        </is>
      </c>
      <c r="D284" s="6" t="inlineStr">
        <is>
          <t>Prospect</t>
        </is>
      </c>
      <c r="E284" s="6" t="inlineStr">
        <is>
          <t>Visit / Prospect</t>
        </is>
      </c>
      <c r="F284" s="6" t="n">
        <v>9</v>
      </c>
      <c r="G284" s="6" t="n">
        <v>0</v>
      </c>
      <c r="H284" s="6" t="inlineStr">
        <is>
          <t>0</t>
        </is>
      </c>
      <c r="I284" s="6" t="inlineStr">
        <is>
          <t>0</t>
        </is>
      </c>
      <c r="J284" s="6" t="inlineStr"/>
      <c r="K284" s="6" t="inlineStr">
        <is>
          <t>2026-06-08</t>
        </is>
      </c>
      <c r="L284" s="6" t="inlineStr">
        <is>
          <t>38</t>
        </is>
      </c>
      <c r="M284" s="6" t="n">
        <v/>
      </c>
      <c r="N284" s="6" t="inlineStr">
        <is>
          <t>45</t>
        </is>
      </c>
      <c r="O284" s="6" t="inlineStr">
        <is>
          <t>J-D31</t>
        </is>
      </c>
      <c r="P284" s="6" t="inlineStr">
        <is>
          <t>Wyandotte</t>
        </is>
      </c>
      <c r="Q284" s="6" t="inlineStr">
        <is>
          <t>2300 Biddle Avenue, Wyandotte, Michigan, 48192</t>
        </is>
      </c>
      <c r="R284" s="6" t="inlineStr"/>
      <c r="S284" s="6" t="inlineStr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</row>
    <row r="285">
      <c r="A285" s="6" t="inlineStr">
        <is>
          <t>BEAUMONT HEALTH INTERNAL MEDICINE WYANDOTTE</t>
        </is>
      </c>
      <c r="B285" s="6" t="inlineStr">
        <is>
          <t>bb8b1992-e217-4eb9-8c68-4c2173bcd341</t>
        </is>
      </c>
      <c r="C285" s="6" t="inlineStr">
        <is>
          <t>PCP</t>
        </is>
      </c>
      <c r="D285" s="6" t="inlineStr">
        <is>
          <t>Prospect</t>
        </is>
      </c>
      <c r="E285" s="6" t="inlineStr">
        <is>
          <t>Visit / Prospect</t>
        </is>
      </c>
      <c r="F285" s="6" t="n">
        <v>9</v>
      </c>
      <c r="G285" s="6" t="n">
        <v>0</v>
      </c>
      <c r="H285" s="6" t="inlineStr">
        <is>
          <t>0</t>
        </is>
      </c>
      <c r="I285" s="6" t="inlineStr">
        <is>
          <t>0</t>
        </is>
      </c>
      <c r="J285" s="6" t="inlineStr"/>
      <c r="K285" s="6" t="inlineStr">
        <is>
          <t>2026-06-08</t>
        </is>
      </c>
      <c r="L285" s="6" t="inlineStr">
        <is>
          <t>38</t>
        </is>
      </c>
      <c r="M285" s="6" t="n">
        <v/>
      </c>
      <c r="N285" s="6" t="inlineStr">
        <is>
          <t>45</t>
        </is>
      </c>
      <c r="O285" s="6" t="inlineStr">
        <is>
          <t>J-D31</t>
        </is>
      </c>
      <c r="P285" s="6" t="inlineStr">
        <is>
          <t>Wyandotte</t>
        </is>
      </c>
      <c r="Q285" s="6" t="inlineStr">
        <is>
          <t>1700 Biddle Ave, Wyandotte, Michigan, 48192</t>
        </is>
      </c>
      <c r="R285" s="6" t="inlineStr"/>
      <c r="S285" s="6" t="inlineStr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</row>
    <row r="286">
      <c r="A286" s="6" t="inlineStr">
        <is>
          <t>DEARBORN HEALTHCARE, PC</t>
        </is>
      </c>
      <c r="B286" s="6" t="inlineStr">
        <is>
          <t>2ced9a88-b51d-4a54-a212-063491259282</t>
        </is>
      </c>
      <c r="C286" s="6" t="inlineStr">
        <is>
          <t>PCP</t>
        </is>
      </c>
      <c r="D286" s="6" t="inlineStr">
        <is>
          <t>Prospect</t>
        </is>
      </c>
      <c r="E286" s="6" t="inlineStr">
        <is>
          <t>Visit / Prospect</t>
        </is>
      </c>
      <c r="F286" s="6" t="n">
        <v>9</v>
      </c>
      <c r="G286" s="6" t="n">
        <v>0</v>
      </c>
      <c r="H286" s="6" t="inlineStr">
        <is>
          <t>0</t>
        </is>
      </c>
      <c r="I286" s="6" t="inlineStr">
        <is>
          <t>0</t>
        </is>
      </c>
      <c r="J286" s="6" t="inlineStr"/>
      <c r="K286" s="6" t="inlineStr">
        <is>
          <t>2026-05-20</t>
        </is>
      </c>
      <c r="L286" s="6" t="inlineStr">
        <is>
          <t>57</t>
        </is>
      </c>
      <c r="M286" s="6" t="n">
        <v/>
      </c>
      <c r="N286" s="6" t="inlineStr">
        <is>
          <t>45</t>
        </is>
      </c>
      <c r="O286" s="6" t="inlineStr">
        <is>
          <t>J-D31</t>
        </is>
      </c>
      <c r="P286" s="6" t="inlineStr">
        <is>
          <t>Dearborn</t>
        </is>
      </c>
      <c r="Q286" s="6" t="inlineStr">
        <is>
          <t>10066 Dix, Dearborn, Michigan, 48120</t>
        </is>
      </c>
      <c r="R286" s="6" t="inlineStr"/>
      <c r="S286" s="6" t="inlineStr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</row>
    <row r="287">
      <c r="A287" s="6" t="inlineStr">
        <is>
          <t>Alphonse Ekole MD</t>
        </is>
      </c>
      <c r="B287" s="6" t="inlineStr">
        <is>
          <t>cf4ac4d2-8a2e-4d0b-8294-4d7f8fd390c4</t>
        </is>
      </c>
      <c r="C287" s="6" t="inlineStr">
        <is>
          <t>PCP</t>
        </is>
      </c>
      <c r="D287" s="6" t="inlineStr">
        <is>
          <t>Prospect</t>
        </is>
      </c>
      <c r="E287" s="6" t="inlineStr">
        <is>
          <t>Visit / Prospect</t>
        </is>
      </c>
      <c r="F287" s="6" t="n">
        <v>8</v>
      </c>
      <c r="G287" s="6" t="n">
        <v>0</v>
      </c>
      <c r="H287" s="6" t="inlineStr">
        <is>
          <t>0</t>
        </is>
      </c>
      <c r="I287" s="6" t="inlineStr">
        <is>
          <t>0</t>
        </is>
      </c>
      <c r="J287" s="6" t="inlineStr"/>
      <c r="K287" s="6" t="inlineStr">
        <is>
          <t>2026-05-01</t>
        </is>
      </c>
      <c r="L287" s="6" t="inlineStr">
        <is>
          <t>76</t>
        </is>
      </c>
      <c r="M287" s="6" t="n">
        <v/>
      </c>
      <c r="N287" s="6" t="inlineStr">
        <is>
          <t>45</t>
        </is>
      </c>
      <c r="O287" s="6" t="inlineStr">
        <is>
          <t>J-D05</t>
        </is>
      </c>
      <c r="P287" s="6" t="inlineStr">
        <is>
          <t>Eastpointe</t>
        </is>
      </c>
      <c r="Q287" s="6" t="inlineStr">
        <is>
          <t>22480 Kelly Road, Eastpointe, Michigan, 48021</t>
        </is>
      </c>
      <c r="R287" s="6" t="inlineStr"/>
      <c r="S287" s="6" t="inlineStr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</row>
    <row r="288">
      <c r="A288" s="6" t="inlineStr">
        <is>
          <t>EASTBORN CLINIC, PLLC</t>
        </is>
      </c>
      <c r="B288" s="6" t="inlineStr">
        <is>
          <t>a8634a8d-40a8-4c4d-84a9-ddf74b794be2</t>
        </is>
      </c>
      <c r="C288" s="6" t="inlineStr">
        <is>
          <t>PCP</t>
        </is>
      </c>
      <c r="D288" s="6" t="inlineStr">
        <is>
          <t>Prospect</t>
        </is>
      </c>
      <c r="E288" s="6" t="inlineStr">
        <is>
          <t>Visit / Prospect</t>
        </is>
      </c>
      <c r="F288" s="6" t="n">
        <v>8</v>
      </c>
      <c r="G288" s="6" t="n">
        <v>0</v>
      </c>
      <c r="H288" s="6" t="inlineStr">
        <is>
          <t>0</t>
        </is>
      </c>
      <c r="I288" s="6" t="inlineStr">
        <is>
          <t>0</t>
        </is>
      </c>
      <c r="J288" s="6" t="inlineStr"/>
      <c r="K288" s="6" t="inlineStr">
        <is>
          <t>2026-06-01</t>
        </is>
      </c>
      <c r="L288" s="6" t="inlineStr">
        <is>
          <t>45</t>
        </is>
      </c>
      <c r="M288" s="6" t="n">
        <v/>
      </c>
      <c r="N288" s="6" t="inlineStr">
        <is>
          <t>45</t>
        </is>
      </c>
      <c r="O288" s="6" t="inlineStr">
        <is>
          <t>J-D06</t>
        </is>
      </c>
      <c r="P288" s="6" t="inlineStr">
        <is>
          <t>DEARBORN</t>
        </is>
      </c>
      <c r="Q288" s="6" t="inlineStr">
        <is>
          <t>7526 WYOMING ST STE 2, DEARBORN, MI, 48126</t>
        </is>
      </c>
      <c r="R288" s="6" t="inlineStr"/>
      <c r="S288" s="6" t="inlineStr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</row>
    <row r="289">
      <c r="A289" s="6" t="inlineStr">
        <is>
          <t>City Medical - Madison Heights</t>
        </is>
      </c>
      <c r="B289" s="6" t="inlineStr">
        <is>
          <t>63cd155b-cebc-4ccb-ae48-e9fd30422380</t>
        </is>
      </c>
      <c r="C289" s="6" t="inlineStr">
        <is>
          <t>Urgent Care</t>
        </is>
      </c>
      <c r="D289" s="6" t="inlineStr">
        <is>
          <t>Prospect</t>
        </is>
      </c>
      <c r="E289" s="6" t="inlineStr">
        <is>
          <t>Visit / Prospect</t>
        </is>
      </c>
      <c r="F289" s="6" t="n">
        <v>8</v>
      </c>
      <c r="G289" s="6" t="n">
        <v>0</v>
      </c>
      <c r="H289" s="6" t="inlineStr">
        <is>
          <t>0</t>
        </is>
      </c>
      <c r="I289" s="6" t="inlineStr">
        <is>
          <t>0</t>
        </is>
      </c>
      <c r="J289" s="6" t="inlineStr"/>
      <c r="K289" s="6" t="inlineStr">
        <is>
          <t>2026-04-02</t>
        </is>
      </c>
      <c r="L289" s="6" t="inlineStr">
        <is>
          <t>105</t>
        </is>
      </c>
      <c r="M289" s="6" t="n">
        <v/>
      </c>
      <c r="N289" s="6" t="inlineStr">
        <is>
          <t>45</t>
        </is>
      </c>
      <c r="O289" s="6" t="inlineStr">
        <is>
          <t>J-D06</t>
        </is>
      </c>
      <c r="P289" s="6" t="inlineStr">
        <is>
          <t>Madison Heights</t>
        </is>
      </c>
      <c r="Q289" s="6" t="inlineStr">
        <is>
          <t>30851 Stephenson Hwy, Madison Heights, MI, 48071</t>
        </is>
      </c>
      <c r="R289" s="6" t="inlineStr"/>
      <c r="S289" s="6" t="inlineStr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</row>
    <row r="290">
      <c r="A290" s="6" t="inlineStr">
        <is>
          <t>Dearborn medical and geriatric center</t>
        </is>
      </c>
      <c r="B290" s="6" t="inlineStr">
        <is>
          <t>e8faaf5d-bdac-4971-9f83-bd77a1c37b96</t>
        </is>
      </c>
      <c r="C290" s="6" t="inlineStr">
        <is>
          <t>PCP</t>
        </is>
      </c>
      <c r="D290" s="6" t="inlineStr">
        <is>
          <t>Prospect</t>
        </is>
      </c>
      <c r="E290" s="6" t="inlineStr">
        <is>
          <t>Visit / Prospect</t>
        </is>
      </c>
      <c r="F290" s="6" t="n">
        <v>8</v>
      </c>
      <c r="G290" s="6" t="n">
        <v>0</v>
      </c>
      <c r="H290" s="6" t="inlineStr">
        <is>
          <t>0</t>
        </is>
      </c>
      <c r="I290" s="6" t="inlineStr">
        <is>
          <t>0</t>
        </is>
      </c>
      <c r="J290" s="6" t="inlineStr"/>
      <c r="K290" s="6" t="inlineStr">
        <is>
          <t>2026-04-20</t>
        </is>
      </c>
      <c r="L290" s="6" t="inlineStr">
        <is>
          <t>87</t>
        </is>
      </c>
      <c r="M290" s="6" t="n">
        <v/>
      </c>
      <c r="N290" s="6" t="inlineStr">
        <is>
          <t>45</t>
        </is>
      </c>
      <c r="O290" s="6" t="inlineStr">
        <is>
          <t>J-D07</t>
        </is>
      </c>
      <c r="P290" s="6" t="inlineStr">
        <is>
          <t>Dearborn</t>
        </is>
      </c>
      <c r="Q290" s="6" t="inlineStr">
        <is>
          <t>24100 Oxford Street, Dearborn, Michigan, 48124</t>
        </is>
      </c>
      <c r="R290" s="6" t="inlineStr"/>
      <c r="S290" s="6" t="inlineStr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</row>
    <row r="291">
      <c r="A291" s="6" t="inlineStr">
        <is>
          <t>DR VIJAYA CHALLA, MD, PC</t>
        </is>
      </c>
      <c r="B291" s="6" t="inlineStr">
        <is>
          <t>5cce6822-d3c7-400b-a3ee-0b6788d7b144</t>
        </is>
      </c>
      <c r="C291" s="6" t="inlineStr">
        <is>
          <t>PCP</t>
        </is>
      </c>
      <c r="D291" s="6" t="inlineStr">
        <is>
          <t>Prospect</t>
        </is>
      </c>
      <c r="E291" s="6" t="inlineStr">
        <is>
          <t>Visit / Prospect</t>
        </is>
      </c>
      <c r="F291" s="6" t="n">
        <v>8</v>
      </c>
      <c r="G291" s="6" t="n">
        <v>0</v>
      </c>
      <c r="H291" s="6" t="inlineStr">
        <is>
          <t>0</t>
        </is>
      </c>
      <c r="I291" s="6" t="inlineStr">
        <is>
          <t>0</t>
        </is>
      </c>
      <c r="J291" s="6" t="inlineStr"/>
      <c r="K291" s="6" t="inlineStr">
        <is>
          <t>2026-03-27</t>
        </is>
      </c>
      <c r="L291" s="6" t="inlineStr">
        <is>
          <t>111</t>
        </is>
      </c>
      <c r="M291" s="6" t="n">
        <v/>
      </c>
      <c r="N291" s="6" t="inlineStr">
        <is>
          <t>45</t>
        </is>
      </c>
      <c r="O291" s="6" t="inlineStr">
        <is>
          <t>J-D07</t>
        </is>
      </c>
      <c r="P291" s="6" t="inlineStr">
        <is>
          <t>DEARBORN</t>
        </is>
      </c>
      <c r="Q291" s="6" t="inlineStr">
        <is>
          <t>24604 MICHIGAN AVE STE 100, DEARBORN, MI, 48124</t>
        </is>
      </c>
      <c r="R291" s="6" t="inlineStr"/>
      <c r="S291" s="6" t="inlineStr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</row>
    <row r="292">
      <c r="A292" s="6" t="inlineStr">
        <is>
          <t>Ascension Providence Dearborn Internal Medicine</t>
        </is>
      </c>
      <c r="B292" s="6" t="inlineStr">
        <is>
          <t>47fdf74f-51d1-46ef-b493-2ef60f3f61b7</t>
        </is>
      </c>
      <c r="C292" s="6" t="inlineStr">
        <is>
          <t>PCP</t>
        </is>
      </c>
      <c r="D292" s="6" t="inlineStr">
        <is>
          <t>Prospect</t>
        </is>
      </c>
      <c r="E292" s="6" t="inlineStr">
        <is>
          <t>Visit / Prospect</t>
        </is>
      </c>
      <c r="F292" s="6" t="n">
        <v>8</v>
      </c>
      <c r="G292" s="6" t="n">
        <v>0</v>
      </c>
      <c r="H292" s="6" t="inlineStr">
        <is>
          <t>0</t>
        </is>
      </c>
      <c r="I292" s="6" t="inlineStr">
        <is>
          <t>0</t>
        </is>
      </c>
      <c r="J292" s="6" t="inlineStr"/>
      <c r="K292" s="6" t="inlineStr">
        <is>
          <t>2026-04-20</t>
        </is>
      </c>
      <c r="L292" s="6" t="inlineStr">
        <is>
          <t>87</t>
        </is>
      </c>
      <c r="M292" s="6" t="n">
        <v/>
      </c>
      <c r="N292" s="6" t="inlineStr">
        <is>
          <t>45</t>
        </is>
      </c>
      <c r="O292" s="6" t="inlineStr">
        <is>
          <t>J-D07</t>
        </is>
      </c>
      <c r="P292" s="6" t="inlineStr">
        <is>
          <t>Dearborn</t>
        </is>
      </c>
      <c r="Q292" s="6" t="inlineStr">
        <is>
          <t>23874 Kean St, #100, Dearborn, Michigan, 48124</t>
        </is>
      </c>
      <c r="R292" s="6" t="inlineStr"/>
      <c r="S292" s="6" t="inlineStr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</row>
    <row r="293">
      <c r="A293" s="6" t="inlineStr">
        <is>
          <t>Cromwell family chiropractic</t>
        </is>
      </c>
      <c r="B293" s="6" t="inlineStr">
        <is>
          <t>40b67646-7a8c-48ac-859a-ec68090967b0</t>
        </is>
      </c>
      <c r="C293" s="6" t="inlineStr">
        <is>
          <t>Chiropractor</t>
        </is>
      </c>
      <c r="D293" s="6" t="inlineStr">
        <is>
          <t>Prospect</t>
        </is>
      </c>
      <c r="E293" s="6" t="inlineStr">
        <is>
          <t>Visit / Prospect</t>
        </is>
      </c>
      <c r="F293" s="6" t="n">
        <v>8</v>
      </c>
      <c r="G293" s="6" t="n">
        <v>0</v>
      </c>
      <c r="H293" s="6" t="inlineStr">
        <is>
          <t>0</t>
        </is>
      </c>
      <c r="I293" s="6" t="inlineStr">
        <is>
          <t>0</t>
        </is>
      </c>
      <c r="J293" s="6" t="inlineStr"/>
      <c r="K293" s="6" t="inlineStr">
        <is>
          <t>2026-03-30</t>
        </is>
      </c>
      <c r="L293" s="6" t="inlineStr">
        <is>
          <t>108</t>
        </is>
      </c>
      <c r="M293" s="6" t="n">
        <v/>
      </c>
      <c r="N293" s="6" t="inlineStr">
        <is>
          <t>45</t>
        </is>
      </c>
      <c r="O293" s="6" t="inlineStr">
        <is>
          <t>J-D09</t>
        </is>
      </c>
      <c r="P293" s="6" t="inlineStr">
        <is>
          <t>Farmington</t>
        </is>
      </c>
      <c r="Q293" s="6" t="inlineStr">
        <is>
          <t>23220 Farmington Road, Farmington, Michigan, 48336</t>
        </is>
      </c>
      <c r="R293" s="6" t="inlineStr"/>
      <c r="S293" s="6" t="inlineStr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</row>
    <row r="294">
      <c r="A294" s="6" t="inlineStr">
        <is>
          <t>Corewell Health Urgent Care</t>
        </is>
      </c>
      <c r="B294" s="6" t="inlineStr">
        <is>
          <t>2239bedc-ff8f-4e3d-ae75-f742a58fc796</t>
        </is>
      </c>
      <c r="C294" s="6" t="inlineStr">
        <is>
          <t>Urgent Care</t>
        </is>
      </c>
      <c r="D294" s="6" t="inlineStr">
        <is>
          <t>Prospect</t>
        </is>
      </c>
      <c r="E294" s="6" t="inlineStr">
        <is>
          <t>Visit / Prospect</t>
        </is>
      </c>
      <c r="F294" s="6" t="n">
        <v>8</v>
      </c>
      <c r="G294" s="6" t="n">
        <v>0</v>
      </c>
      <c r="H294" s="6" t="inlineStr">
        <is>
          <t>0</t>
        </is>
      </c>
      <c r="I294" s="6" t="inlineStr">
        <is>
          <t>0</t>
        </is>
      </c>
      <c r="J294" s="6" t="inlineStr"/>
      <c r="K294" s="6" t="inlineStr">
        <is>
          <t>2026-05-11</t>
        </is>
      </c>
      <c r="L294" s="6" t="inlineStr">
        <is>
          <t>66</t>
        </is>
      </c>
      <c r="M294" s="6" t="n">
        <v/>
      </c>
      <c r="N294" s="6" t="inlineStr">
        <is>
          <t>45</t>
        </is>
      </c>
      <c r="O294" s="6" t="inlineStr">
        <is>
          <t>J-D10</t>
        </is>
      </c>
      <c r="P294" s="6" t="inlineStr">
        <is>
          <t>FARMINGTON HILLS</t>
        </is>
      </c>
      <c r="Q294" s="6" t="inlineStr">
        <is>
          <t>27810 GRAND RIVER AVE, FARMINGTON HILLS, Michigan, 48336</t>
        </is>
      </c>
      <c r="R294" s="6" t="inlineStr"/>
      <c r="S294" s="6" t="inlineStr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</row>
    <row r="295">
      <c r="A295" s="6" t="inlineStr">
        <is>
          <t>Corewell Health Family Medicine - Northside</t>
        </is>
      </c>
      <c r="B295" s="6" t="inlineStr">
        <is>
          <t>809a3eca-b208-45b0-9625-72c47659e808</t>
        </is>
      </c>
      <c r="C295" s="6" t="inlineStr">
        <is>
          <t>PCP</t>
        </is>
      </c>
      <c r="D295" s="6" t="inlineStr">
        <is>
          <t>Prospect</t>
        </is>
      </c>
      <c r="E295" s="6" t="inlineStr">
        <is>
          <t>Visit / Prospect</t>
        </is>
      </c>
      <c r="F295" s="6" t="n">
        <v>8</v>
      </c>
      <c r="G295" s="6" t="n">
        <v>0</v>
      </c>
      <c r="H295" s="6" t="inlineStr">
        <is>
          <t>0</t>
        </is>
      </c>
      <c r="I295" s="6" t="inlineStr">
        <is>
          <t>0</t>
        </is>
      </c>
      <c r="J295" s="6" t="inlineStr"/>
      <c r="K295" s="6" t="inlineStr">
        <is>
          <t>2026-02-27</t>
        </is>
      </c>
      <c r="L295" s="6" t="inlineStr">
        <is>
          <t>139</t>
        </is>
      </c>
      <c r="M295" s="6" t="n">
        <v/>
      </c>
      <c r="N295" s="6" t="inlineStr">
        <is>
          <t>45</t>
        </is>
      </c>
      <c r="O295" s="6" t="inlineStr">
        <is>
          <t>J-D11</t>
        </is>
      </c>
      <c r="P295" s="6" t="inlineStr">
        <is>
          <t>Detroit</t>
        </is>
      </c>
      <c r="Q295" s="6" t="inlineStr">
        <is>
          <t>14001 Greenfield Rd, Detroit, Michigan, 48227</t>
        </is>
      </c>
      <c r="R295" s="6" t="inlineStr"/>
      <c r="S295" s="6" t="inlineStr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</row>
    <row r="296">
      <c r="A296" s="6" t="inlineStr">
        <is>
          <t>Caudell Chiropractic</t>
        </is>
      </c>
      <c r="B296" s="6" t="inlineStr">
        <is>
          <t>6246a98e-0503-476c-80f7-6d9617232f36</t>
        </is>
      </c>
      <c r="C296" s="6" t="inlineStr">
        <is>
          <t>Chiropractor</t>
        </is>
      </c>
      <c r="D296" s="6" t="inlineStr">
        <is>
          <t>Prospect</t>
        </is>
      </c>
      <c r="E296" s="6" t="inlineStr">
        <is>
          <t>Visit / Prospect</t>
        </is>
      </c>
      <c r="F296" s="6" t="n">
        <v>8</v>
      </c>
      <c r="G296" s="6" t="n">
        <v>0</v>
      </c>
      <c r="H296" s="6" t="inlineStr">
        <is>
          <t>0</t>
        </is>
      </c>
      <c r="I296" s="6" t="inlineStr">
        <is>
          <t>0</t>
        </is>
      </c>
      <c r="J296" s="6" t="inlineStr"/>
      <c r="K296" s="6" t="inlineStr">
        <is>
          <t>2026-02-26</t>
        </is>
      </c>
      <c r="L296" s="6" t="inlineStr">
        <is>
          <t>140</t>
        </is>
      </c>
      <c r="M296" s="6" t="n">
        <v/>
      </c>
      <c r="N296" s="6" t="inlineStr">
        <is>
          <t>45</t>
        </is>
      </c>
      <c r="O296" s="6" t="inlineStr">
        <is>
          <t>J-D11</t>
        </is>
      </c>
      <c r="P296" s="6" t="inlineStr">
        <is>
          <t>Dearborn Heights</t>
        </is>
      </c>
      <c r="Q296" s="6" t="inlineStr">
        <is>
          <t>5928 N Telegraph Rd, Dearborn Heights, Michigan, 48127</t>
        </is>
      </c>
      <c r="R296" s="6" t="inlineStr"/>
      <c r="S296" s="6" t="inlineStr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</row>
    <row r="297">
      <c r="A297" s="6" t="inlineStr">
        <is>
          <t>Elite Care Physicians PLLC</t>
        </is>
      </c>
      <c r="B297" s="6" t="inlineStr">
        <is>
          <t>54cc6f59-8575-499c-a4fb-25b77aad9f25</t>
        </is>
      </c>
      <c r="C297" s="6" t="inlineStr">
        <is>
          <t>PCP</t>
        </is>
      </c>
      <c r="D297" s="6" t="inlineStr">
        <is>
          <t>Prospect</t>
        </is>
      </c>
      <c r="E297" s="6" t="inlineStr">
        <is>
          <t>Visit / Prospect</t>
        </is>
      </c>
      <c r="F297" s="6" t="n">
        <v>8</v>
      </c>
      <c r="G297" s="6" t="n">
        <v>0</v>
      </c>
      <c r="H297" s="6" t="inlineStr">
        <is>
          <t>0</t>
        </is>
      </c>
      <c r="I297" s="6" t="inlineStr">
        <is>
          <t>0</t>
        </is>
      </c>
      <c r="J297" s="6" t="inlineStr"/>
      <c r="K297" s="6" t="inlineStr">
        <is>
          <t>2026-01-26</t>
        </is>
      </c>
      <c r="L297" s="6" t="inlineStr">
        <is>
          <t>171</t>
        </is>
      </c>
      <c r="M297" s="6" t="n">
        <v/>
      </c>
      <c r="N297" s="6" t="inlineStr">
        <is>
          <t>45</t>
        </is>
      </c>
      <c r="O297" s="6" t="inlineStr">
        <is>
          <t>J-D11</t>
        </is>
      </c>
      <c r="P297" s="6" t="inlineStr">
        <is>
          <t>Redford</t>
        </is>
      </c>
      <c r="Q297" s="6" t="inlineStr">
        <is>
          <t>27144 Joy Rd, Redford, MI, 48239</t>
        </is>
      </c>
      <c r="R297" s="6" t="inlineStr"/>
      <c r="S297" s="6" t="inlineStr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</row>
    <row r="298">
      <c r="A298" s="6" t="inlineStr">
        <is>
          <t>Doctors of physical therapy and hand therapy</t>
        </is>
      </c>
      <c r="B298" s="6" t="inlineStr">
        <is>
          <t>955f13c7-e431-43cf-b407-ab2791e34825</t>
        </is>
      </c>
      <c r="C298" s="6" t="inlineStr">
        <is>
          <t>PT</t>
        </is>
      </c>
      <c r="D298" s="6" t="inlineStr">
        <is>
          <t>Prospect</t>
        </is>
      </c>
      <c r="E298" s="6" t="inlineStr">
        <is>
          <t>Visit / Prospect</t>
        </is>
      </c>
      <c r="F298" s="6" t="n">
        <v>8</v>
      </c>
      <c r="G298" s="6" t="n">
        <v>0</v>
      </c>
      <c r="H298" s="6" t="inlineStr">
        <is>
          <t>0</t>
        </is>
      </c>
      <c r="I298" s="6" t="inlineStr">
        <is>
          <t>0</t>
        </is>
      </c>
      <c r="J298" s="6" t="inlineStr"/>
      <c r="K298" s="6" t="inlineStr">
        <is>
          <t>2026-06-05</t>
        </is>
      </c>
      <c r="L298" s="6" t="inlineStr">
        <is>
          <t>41</t>
        </is>
      </c>
      <c r="M298" s="6" t="n">
        <v/>
      </c>
      <c r="N298" s="6" t="inlineStr">
        <is>
          <t>45</t>
        </is>
      </c>
      <c r="O298" s="6" t="inlineStr">
        <is>
          <t>J-D12</t>
        </is>
      </c>
      <c r="P298" s="6" t="inlineStr">
        <is>
          <t>Brighton</t>
        </is>
      </c>
      <c r="Q298" s="6" t="inlineStr">
        <is>
          <t>7701 Grand River Avenue, Brighton, Michigan, 48114</t>
        </is>
      </c>
      <c r="R298" s="6" t="inlineStr"/>
      <c r="S298" s="6" t="inlineStr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</row>
    <row r="299">
      <c r="A299" s="6" t="inlineStr">
        <is>
          <t>Duncan Chiropractic Group</t>
        </is>
      </c>
      <c r="B299" s="6" t="inlineStr">
        <is>
          <t>110f66be-a765-4c63-bea0-2594890f94c8</t>
        </is>
      </c>
      <c r="C299" s="6" t="inlineStr">
        <is>
          <t>Chiropractor</t>
        </is>
      </c>
      <c r="D299" s="6" t="inlineStr">
        <is>
          <t>Prospect</t>
        </is>
      </c>
      <c r="E299" s="6" t="inlineStr">
        <is>
          <t>Visit / Prospect</t>
        </is>
      </c>
      <c r="F299" s="6" t="n">
        <v>8</v>
      </c>
      <c r="G299" s="6" t="n">
        <v>0</v>
      </c>
      <c r="H299" s="6" t="inlineStr">
        <is>
          <t>0</t>
        </is>
      </c>
      <c r="I299" s="6" t="inlineStr">
        <is>
          <t>0</t>
        </is>
      </c>
      <c r="J299" s="6" t="inlineStr"/>
      <c r="K299" s="6" t="inlineStr">
        <is>
          <t>2026-04-14</t>
        </is>
      </c>
      <c r="L299" s="6" t="inlineStr">
        <is>
          <t>93</t>
        </is>
      </c>
      <c r="M299" s="6" t="n">
        <v/>
      </c>
      <c r="N299" s="6" t="inlineStr">
        <is>
          <t>45</t>
        </is>
      </c>
      <c r="O299" s="6" t="inlineStr">
        <is>
          <t>J-D12</t>
        </is>
      </c>
      <c r="P299" s="6" t="inlineStr">
        <is>
          <t>Brighton</t>
        </is>
      </c>
      <c r="Q299" s="6" t="inlineStr">
        <is>
          <t>8336 Hilton Rd, Brighton, Michigan, 48114</t>
        </is>
      </c>
      <c r="R299" s="6" t="inlineStr"/>
      <c r="S299" s="6" t="inlineStr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</row>
    <row r="300">
      <c r="A300" s="6" t="inlineStr">
        <is>
          <t>ATI PHYSICAL THERAPY</t>
        </is>
      </c>
      <c r="B300" s="6" t="inlineStr">
        <is>
          <t>f46e96b6-beab-4a7a-b674-d27ffa003553</t>
        </is>
      </c>
      <c r="C300" s="6" t="inlineStr">
        <is>
          <t>Orthopedic</t>
        </is>
      </c>
      <c r="D300" s="6" t="inlineStr">
        <is>
          <t>Prospect</t>
        </is>
      </c>
      <c r="E300" s="6" t="inlineStr">
        <is>
          <t>Visit / Prospect</t>
        </is>
      </c>
      <c r="F300" s="6" t="n">
        <v>8</v>
      </c>
      <c r="G300" s="6" t="n">
        <v>0</v>
      </c>
      <c r="H300" s="6" t="inlineStr">
        <is>
          <t>0</t>
        </is>
      </c>
      <c r="I300" s="6" t="inlineStr">
        <is>
          <t>0</t>
        </is>
      </c>
      <c r="J300" s="6" t="inlineStr"/>
      <c r="K300" s="6" t="inlineStr">
        <is>
          <t>2026-04-14</t>
        </is>
      </c>
      <c r="L300" s="6" t="inlineStr">
        <is>
          <t>93</t>
        </is>
      </c>
      <c r="M300" s="6" t="n">
        <v/>
      </c>
      <c r="N300" s="6" t="inlineStr">
        <is>
          <t>45</t>
        </is>
      </c>
      <c r="O300" s="6" t="inlineStr">
        <is>
          <t>J-D12</t>
        </is>
      </c>
      <c r="P300" s="6" t="inlineStr">
        <is>
          <t>Brighton</t>
        </is>
      </c>
      <c r="Q300" s="6" t="inlineStr">
        <is>
          <t>10415 Grand River Rd, Ste 300, Brighton, Michigan, 48116</t>
        </is>
      </c>
      <c r="R300" s="6" t="inlineStr"/>
      <c r="S300" s="6" t="inlineStr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</row>
    <row r="301">
      <c r="A301" s="6" t="inlineStr">
        <is>
          <t>BRYANT PRIMARY CARE Updated</t>
        </is>
      </c>
      <c r="B301" s="6" t="inlineStr">
        <is>
          <t>5a3b3a92-6b7c-4a66-8877-b58376fa4af0</t>
        </is>
      </c>
      <c r="C301" s="6" t="inlineStr">
        <is>
          <t>Pain</t>
        </is>
      </c>
      <c r="D301" s="6" t="inlineStr">
        <is>
          <t>Prospect</t>
        </is>
      </c>
      <c r="E301" s="6" t="inlineStr">
        <is>
          <t>Visit / Prospect</t>
        </is>
      </c>
      <c r="F301" s="6" t="n">
        <v>8</v>
      </c>
      <c r="G301" s="6" t="n">
        <v>0</v>
      </c>
      <c r="H301" s="6" t="inlineStr">
        <is>
          <t>0</t>
        </is>
      </c>
      <c r="I301" s="6" t="inlineStr">
        <is>
          <t>0</t>
        </is>
      </c>
      <c r="J301" s="6" t="inlineStr"/>
      <c r="K301" s="6" t="inlineStr">
        <is>
          <t>2026-04-02</t>
        </is>
      </c>
      <c r="L301" s="6" t="inlineStr">
        <is>
          <t>105</t>
        </is>
      </c>
      <c r="M301" s="6" t="n">
        <v/>
      </c>
      <c r="N301" s="6" t="inlineStr">
        <is>
          <t>45</t>
        </is>
      </c>
      <c r="O301" s="6" t="inlineStr">
        <is>
          <t>J-D13</t>
        </is>
      </c>
      <c r="P301" s="6" t="inlineStr">
        <is>
          <t>DEARBORN</t>
        </is>
      </c>
      <c r="Q301" s="6" t="inlineStr">
        <is>
          <t>6 parklane Blvd, Suite 436, DEARBORN, Michigan, 48126</t>
        </is>
      </c>
      <c r="R301" s="6" t="inlineStr"/>
      <c r="S301" s="6" t="inlineStr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</row>
    <row r="302">
      <c r="A302" s="6" t="inlineStr">
        <is>
          <t>Associated physicians of Dearborn</t>
        </is>
      </c>
      <c r="B302" s="6" t="inlineStr">
        <is>
          <t>36a01517-61d6-4abe-a326-3df8c6bbd274</t>
        </is>
      </c>
      <c r="C302" s="6" t="inlineStr">
        <is>
          <t>PCP</t>
        </is>
      </c>
      <c r="D302" s="6" t="inlineStr">
        <is>
          <t>Prospect</t>
        </is>
      </c>
      <c r="E302" s="6" t="inlineStr">
        <is>
          <t>Visit / Prospect</t>
        </is>
      </c>
      <c r="F302" s="6" t="n">
        <v>8</v>
      </c>
      <c r="G302" s="6" t="n">
        <v>0</v>
      </c>
      <c r="H302" s="6" t="inlineStr">
        <is>
          <t>0</t>
        </is>
      </c>
      <c r="I302" s="6" t="inlineStr">
        <is>
          <t>0</t>
        </is>
      </c>
      <c r="J302" s="6" t="inlineStr"/>
      <c r="K302" s="6" t="inlineStr">
        <is>
          <t>2026-04-20</t>
        </is>
      </c>
      <c r="L302" s="6" t="inlineStr">
        <is>
          <t>87</t>
        </is>
      </c>
      <c r="M302" s="6" t="n">
        <v/>
      </c>
      <c r="N302" s="6" t="inlineStr">
        <is>
          <t>45</t>
        </is>
      </c>
      <c r="O302" s="6" t="inlineStr">
        <is>
          <t>J-D13</t>
        </is>
      </c>
      <c r="P302" s="6" t="inlineStr">
        <is>
          <t>Dearborn</t>
        </is>
      </c>
      <c r="Q302" s="6" t="inlineStr">
        <is>
          <t>4700 Greenfield Rd, Dearborn, Michigan, 48126</t>
        </is>
      </c>
      <c r="R302" s="6" t="inlineStr"/>
      <c r="S302" s="6" t="inlineStr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</row>
    <row r="303">
      <c r="A303" s="6" t="inlineStr">
        <is>
          <t>EAST DEARBORN MEDICAL CLINIC, PC (Medicaid)</t>
        </is>
      </c>
      <c r="B303" s="6" t="inlineStr">
        <is>
          <t>e73a93c2-41c4-488a-8474-89698cf619bb</t>
        </is>
      </c>
      <c r="C303" s="6" t="inlineStr">
        <is>
          <t>PCP</t>
        </is>
      </c>
      <c r="D303" s="6" t="inlineStr">
        <is>
          <t>Prospect</t>
        </is>
      </c>
      <c r="E303" s="6" t="inlineStr">
        <is>
          <t>Visit / Prospect</t>
        </is>
      </c>
      <c r="F303" s="6" t="n">
        <v>8</v>
      </c>
      <c r="G303" s="6" t="n">
        <v>0</v>
      </c>
      <c r="H303" s="6" t="inlineStr">
        <is>
          <t>0</t>
        </is>
      </c>
      <c r="I303" s="6" t="inlineStr">
        <is>
          <t>0</t>
        </is>
      </c>
      <c r="J303" s="6" t="inlineStr"/>
      <c r="K303" s="6" t="inlineStr">
        <is>
          <t>2026-06-01</t>
        </is>
      </c>
      <c r="L303" s="6" t="inlineStr">
        <is>
          <t>45</t>
        </is>
      </c>
      <c r="M303" s="6" t="n">
        <v/>
      </c>
      <c r="N303" s="6" t="inlineStr">
        <is>
          <t>45</t>
        </is>
      </c>
      <c r="O303" s="6" t="inlineStr">
        <is>
          <t>J-D13</t>
        </is>
      </c>
      <c r="P303" s="6" t="inlineStr">
        <is>
          <t>DEARBORN</t>
        </is>
      </c>
      <c r="Q303" s="6" t="inlineStr">
        <is>
          <t>14650 W WARREN AVE STE 150, DEARBORN, Michigan, 48126</t>
        </is>
      </c>
      <c r="R303" s="6" t="inlineStr"/>
      <c r="S303" s="6" t="inlineStr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</row>
    <row r="304">
      <c r="A304" s="6" t="inlineStr">
        <is>
          <t>CEDAR MEDICAL ASSOCIATES</t>
        </is>
      </c>
      <c r="B304" s="6" t="inlineStr">
        <is>
          <t>b187ef9a-bf2a-420e-b663-1f843a428a22</t>
        </is>
      </c>
      <c r="C304" s="6" t="inlineStr">
        <is>
          <t>PCP</t>
        </is>
      </c>
      <c r="D304" s="6" t="inlineStr">
        <is>
          <t>Prospect</t>
        </is>
      </c>
      <c r="E304" s="6" t="inlineStr">
        <is>
          <t>Visit / Prospect</t>
        </is>
      </c>
      <c r="F304" s="6" t="n">
        <v>8</v>
      </c>
      <c r="G304" s="6" t="n">
        <v>0</v>
      </c>
      <c r="H304" s="6" t="inlineStr">
        <is>
          <t>0</t>
        </is>
      </c>
      <c r="I304" s="6" t="inlineStr">
        <is>
          <t>0</t>
        </is>
      </c>
      <c r="J304" s="6" t="inlineStr"/>
      <c r="K304" s="6" t="inlineStr">
        <is>
          <t>2026-05-06</t>
        </is>
      </c>
      <c r="L304" s="6" t="inlineStr">
        <is>
          <t>71</t>
        </is>
      </c>
      <c r="M304" s="6" t="n">
        <v/>
      </c>
      <c r="N304" s="6" t="inlineStr">
        <is>
          <t>45</t>
        </is>
      </c>
      <c r="O304" s="6" t="inlineStr">
        <is>
          <t>J-D21</t>
        </is>
      </c>
      <c r="P304" s="6" t="inlineStr">
        <is>
          <t>DEARBORN</t>
        </is>
      </c>
      <c r="Q304" s="6" t="inlineStr">
        <is>
          <t>1951 MONROE ST, DEARBORN, MI, 48124</t>
        </is>
      </c>
      <c r="R304" s="6" t="inlineStr"/>
      <c r="S304" s="6" t="inlineStr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</row>
    <row r="305">
      <c r="A305" s="6" t="inlineStr">
        <is>
          <t>Ben Go MD PC</t>
        </is>
      </c>
      <c r="B305" s="6" t="inlineStr">
        <is>
          <t>22e81152-0662-4863-bc0b-452a4d53ae02</t>
        </is>
      </c>
      <c r="C305" s="6" t="inlineStr">
        <is>
          <t>Orthopedic</t>
        </is>
      </c>
      <c r="D305" s="6" t="inlineStr">
        <is>
          <t>Prospect</t>
        </is>
      </c>
      <c r="E305" s="6" t="inlineStr">
        <is>
          <t>Visit / Prospect</t>
        </is>
      </c>
      <c r="F305" s="6" t="n">
        <v>8</v>
      </c>
      <c r="G305" s="6" t="n">
        <v>0</v>
      </c>
      <c r="H305" s="6" t="inlineStr">
        <is>
          <t>0</t>
        </is>
      </c>
      <c r="I305" s="6" t="inlineStr">
        <is>
          <t>0</t>
        </is>
      </c>
      <c r="J305" s="6" t="inlineStr"/>
      <c r="K305" s="6" t="inlineStr">
        <is>
          <t>2026-01-12</t>
        </is>
      </c>
      <c r="L305" s="6" t="inlineStr">
        <is>
          <t>185</t>
        </is>
      </c>
      <c r="M305" s="6" t="n">
        <v/>
      </c>
      <c r="N305" s="6" t="inlineStr">
        <is>
          <t>45</t>
        </is>
      </c>
      <c r="O305" s="6" t="inlineStr">
        <is>
          <t>J-D24</t>
        </is>
      </c>
      <c r="P305" s="6" t="inlineStr">
        <is>
          <t>Riverview</t>
        </is>
      </c>
      <c r="Q305" s="6" t="inlineStr">
        <is>
          <t>14720 King Road, Riverview, Michigan, 48193</t>
        </is>
      </c>
      <c r="R305" s="6" t="inlineStr"/>
      <c r="S305" s="6" t="inlineStr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</row>
    <row r="306">
      <c r="A306" s="6" t="inlineStr">
        <is>
          <t>ALLENWOOD FAMILY HEALTH CARE, PC</t>
        </is>
      </c>
      <c r="B306" s="6" t="inlineStr">
        <is>
          <t>6f941c50-4b0e-460c-8a8a-f59d8a74ccde</t>
        </is>
      </c>
      <c r="C306" s="6" t="inlineStr">
        <is>
          <t>PCP</t>
        </is>
      </c>
      <c r="D306" s="6" t="inlineStr">
        <is>
          <t>Prospect</t>
        </is>
      </c>
      <c r="E306" s="6" t="inlineStr">
        <is>
          <t>Visit / Prospect</t>
        </is>
      </c>
      <c r="F306" s="6" t="n">
        <v>8</v>
      </c>
      <c r="G306" s="6" t="n">
        <v>0</v>
      </c>
      <c r="H306" s="6" t="inlineStr">
        <is>
          <t>0</t>
        </is>
      </c>
      <c r="I306" s="6" t="inlineStr">
        <is>
          <t>0</t>
        </is>
      </c>
      <c r="J306" s="6" t="inlineStr"/>
      <c r="K306" s="6" t="inlineStr">
        <is>
          <t>2026-04-08</t>
        </is>
      </c>
      <c r="L306" s="6" t="inlineStr">
        <is>
          <t>99</t>
        </is>
      </c>
      <c r="M306" s="6" t="n">
        <v/>
      </c>
      <c r="N306" s="6" t="inlineStr">
        <is>
          <t>45</t>
        </is>
      </c>
      <c r="O306" s="6" t="inlineStr">
        <is>
          <t>J-D28</t>
        </is>
      </c>
      <c r="P306" s="6" t="inlineStr">
        <is>
          <t>Taylor</t>
        </is>
      </c>
      <c r="Q306" s="6" t="inlineStr">
        <is>
          <t>11368 Allen Road, Taylor, Michigan, 48180</t>
        </is>
      </c>
      <c r="R306" s="6" t="inlineStr"/>
      <c r="S306" s="6" t="inlineStr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</row>
    <row r="307">
      <c r="A307" s="6" t="inlineStr">
        <is>
          <t>DOWNRIVER INTERNISTS, PC</t>
        </is>
      </c>
      <c r="B307" s="6" t="inlineStr">
        <is>
          <t>0889eef0-5cc1-4032-b658-e4a9c719c997</t>
        </is>
      </c>
      <c r="C307" s="6" t="inlineStr">
        <is>
          <t>PCP</t>
        </is>
      </c>
      <c r="D307" s="6" t="inlineStr">
        <is>
          <t>Prospect</t>
        </is>
      </c>
      <c r="E307" s="6" t="inlineStr">
        <is>
          <t>Visit / Prospect</t>
        </is>
      </c>
      <c r="F307" s="6" t="n">
        <v>8</v>
      </c>
      <c r="G307" s="6" t="n">
        <v>0</v>
      </c>
      <c r="H307" s="6" t="inlineStr">
        <is>
          <t>0</t>
        </is>
      </c>
      <c r="I307" s="6" t="inlineStr">
        <is>
          <t>0</t>
        </is>
      </c>
      <c r="J307" s="6" t="inlineStr"/>
      <c r="K307" s="6" t="inlineStr">
        <is>
          <t>2026-03-05</t>
        </is>
      </c>
      <c r="L307" s="6" t="inlineStr">
        <is>
          <t>133</t>
        </is>
      </c>
      <c r="M307" s="6" t="n">
        <v/>
      </c>
      <c r="N307" s="6" t="inlineStr">
        <is>
          <t>45</t>
        </is>
      </c>
      <c r="O307" s="6" t="inlineStr">
        <is>
          <t>J-D28</t>
        </is>
      </c>
      <c r="P307" s="6" t="inlineStr">
        <is>
          <t>TAYLOR</t>
        </is>
      </c>
      <c r="Q307" s="6" t="inlineStr">
        <is>
          <t>21801 GODDARD RD, TAYLOR, MI, 48180</t>
        </is>
      </c>
      <c r="R307" s="6" t="inlineStr"/>
      <c r="S307" s="6" t="inlineStr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</row>
    <row r="308">
      <c r="A308" s="6" t="inlineStr">
        <is>
          <t>BEAUMONT ATHENS CLINIC TAYLOR</t>
        </is>
      </c>
      <c r="B308" s="6" t="inlineStr">
        <is>
          <t>07d227b8-b9ff-4616-9f9b-f3e3ac05f4b1</t>
        </is>
      </c>
      <c r="C308" s="6" t="inlineStr">
        <is>
          <t>PCP</t>
        </is>
      </c>
      <c r="D308" s="6" t="inlineStr">
        <is>
          <t>Prospect</t>
        </is>
      </c>
      <c r="E308" s="6" t="inlineStr">
        <is>
          <t>Visit / Prospect</t>
        </is>
      </c>
      <c r="F308" s="6" t="n">
        <v>8</v>
      </c>
      <c r="G308" s="6" t="n">
        <v>0</v>
      </c>
      <c r="H308" s="6" t="inlineStr">
        <is>
          <t>0</t>
        </is>
      </c>
      <c r="I308" s="6" t="inlineStr">
        <is>
          <t>0</t>
        </is>
      </c>
      <c r="J308" s="6" t="inlineStr"/>
      <c r="K308" s="6" t="inlineStr">
        <is>
          <t>2026-03-17</t>
        </is>
      </c>
      <c r="L308" s="6" t="inlineStr">
        <is>
          <t>121</t>
        </is>
      </c>
      <c r="M308" s="6" t="n">
        <v/>
      </c>
      <c r="N308" s="6" t="inlineStr">
        <is>
          <t>45</t>
        </is>
      </c>
      <c r="O308" s="6" t="inlineStr">
        <is>
          <t>J-D28</t>
        </is>
      </c>
      <c r="P308" s="6" t="inlineStr">
        <is>
          <t>TAYLOR</t>
        </is>
      </c>
      <c r="Q308" s="6" t="inlineStr">
        <is>
          <t>15100 S PLAZA DR, TAYLOR, MI, 48180</t>
        </is>
      </c>
      <c r="R308" s="6" t="inlineStr"/>
      <c r="S308" s="6" t="inlineStr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</row>
    <row r="309">
      <c r="A309" s="6" t="inlineStr">
        <is>
          <t>Briarwood Family Medicine</t>
        </is>
      </c>
      <c r="B309" s="6" t="inlineStr">
        <is>
          <t>e658d459-31db-44b9-a41a-111a5d55464b</t>
        </is>
      </c>
      <c r="C309" s="6" t="inlineStr">
        <is>
          <t>PCP</t>
        </is>
      </c>
      <c r="D309" s="6" t="inlineStr">
        <is>
          <t>Prospect</t>
        </is>
      </c>
      <c r="E309" s="6" t="inlineStr">
        <is>
          <t>Visit / Prospect</t>
        </is>
      </c>
      <c r="F309" s="6" t="n">
        <v>8</v>
      </c>
      <c r="G309" s="6" t="n">
        <v>0</v>
      </c>
      <c r="H309" s="6" t="inlineStr">
        <is>
          <t>0</t>
        </is>
      </c>
      <c r="I309" s="6" t="inlineStr">
        <is>
          <t>0</t>
        </is>
      </c>
      <c r="J309" s="6" t="inlineStr"/>
      <c r="K309" s="6" t="inlineStr">
        <is>
          <t>2026-04-15</t>
        </is>
      </c>
      <c r="L309" s="6" t="inlineStr">
        <is>
          <t>92</t>
        </is>
      </c>
      <c r="M309" s="6" t="n">
        <v/>
      </c>
      <c r="N309" s="6" t="inlineStr">
        <is>
          <t>45</t>
        </is>
      </c>
      <c r="O309" s="6" t="inlineStr">
        <is>
          <t>J-D30</t>
        </is>
      </c>
      <c r="P309" s="6" t="inlineStr">
        <is>
          <t>Ann Arbor</t>
        </is>
      </c>
      <c r="Q309" s="6" t="inlineStr">
        <is>
          <t>1801 Briarwood Cir building 10, Ann Arbor, Michigan, 48108</t>
        </is>
      </c>
      <c r="R309" s="6" t="inlineStr"/>
      <c r="S309" s="6" t="inlineStr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</row>
    <row r="310">
      <c r="A310" s="6" t="inlineStr">
        <is>
          <t>Dr. Susannah Parke</t>
        </is>
      </c>
      <c r="B310" s="6" t="inlineStr">
        <is>
          <t>6855cf51-cff2-4106-8a51-41fb2da1e895</t>
        </is>
      </c>
      <c r="C310" s="6" t="inlineStr">
        <is>
          <t>PCP</t>
        </is>
      </c>
      <c r="D310" s="6" t="inlineStr">
        <is>
          <t>Prospect</t>
        </is>
      </c>
      <c r="E310" s="6" t="inlineStr">
        <is>
          <t>Visit / Prospect</t>
        </is>
      </c>
      <c r="F310" s="6" t="n">
        <v>8</v>
      </c>
      <c r="G310" s="6" t="n">
        <v>0</v>
      </c>
      <c r="H310" s="6" t="inlineStr">
        <is>
          <t>0</t>
        </is>
      </c>
      <c r="I310" s="6" t="inlineStr">
        <is>
          <t>0</t>
        </is>
      </c>
      <c r="J310" s="6" t="inlineStr"/>
      <c r="K310" s="6" t="inlineStr">
        <is>
          <t>2026-05-27</t>
        </is>
      </c>
      <c r="L310" s="6" t="inlineStr">
        <is>
          <t>50</t>
        </is>
      </c>
      <c r="M310" s="6" t="n">
        <v/>
      </c>
      <c r="N310" s="6" t="inlineStr">
        <is>
          <t>45</t>
        </is>
      </c>
      <c r="O310" s="6" t="inlineStr">
        <is>
          <t>J-D30</t>
        </is>
      </c>
      <c r="P310" s="6" t="inlineStr">
        <is>
          <t>Ann Arbor</t>
        </is>
      </c>
      <c r="Q310" s="6" t="inlineStr">
        <is>
          <t>231 Little Lake Dr suite d, Ann Arbor, Michigan, 48103</t>
        </is>
      </c>
      <c r="R310" s="6" t="inlineStr"/>
      <c r="S310" s="6" t="inlineStr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</row>
    <row r="311">
      <c r="A311" s="6" t="inlineStr">
        <is>
          <t>BEAUMONT FAMILY MEDICINE CLINIC TAYLOR</t>
        </is>
      </c>
      <c r="B311" s="6" t="inlineStr">
        <is>
          <t>ca75c2bf-f7ff-43df-9399-5f78f3147237</t>
        </is>
      </c>
      <c r="C311" s="6" t="inlineStr">
        <is>
          <t>PCP</t>
        </is>
      </c>
      <c r="D311" s="6" t="inlineStr">
        <is>
          <t>Prospect</t>
        </is>
      </c>
      <c r="E311" s="6" t="inlineStr">
        <is>
          <t>Visit / Prospect</t>
        </is>
      </c>
      <c r="F311" s="6" t="n">
        <v>8</v>
      </c>
      <c r="G311" s="6" t="n">
        <v>0</v>
      </c>
      <c r="H311" s="6" t="inlineStr">
        <is>
          <t>0</t>
        </is>
      </c>
      <c r="I311" s="6" t="inlineStr">
        <is>
          <t>0</t>
        </is>
      </c>
      <c r="J311" s="6" t="inlineStr"/>
      <c r="K311" s="6" t="inlineStr">
        <is>
          <t>2026-04-08</t>
        </is>
      </c>
      <c r="L311" s="6" t="inlineStr">
        <is>
          <t>99</t>
        </is>
      </c>
      <c r="M311" s="6" t="n">
        <v/>
      </c>
      <c r="N311" s="6" t="inlineStr">
        <is>
          <t>45</t>
        </is>
      </c>
      <c r="O311" s="6" t="inlineStr">
        <is>
          <t>J-D31</t>
        </is>
      </c>
      <c r="P311" s="6" t="inlineStr">
        <is>
          <t>TAYLOR</t>
        </is>
      </c>
      <c r="Q311" s="6" t="inlineStr">
        <is>
          <t>9340 TELEGRAPH RD, TAYLOR, MI, 48180</t>
        </is>
      </c>
      <c r="R311" s="6" t="inlineStr"/>
      <c r="S311" s="6" t="inlineStr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</row>
    <row r="312">
      <c r="A312" s="6" t="inlineStr">
        <is>
          <t>AMC Primary Care</t>
        </is>
      </c>
      <c r="B312" s="6" t="inlineStr">
        <is>
          <t>7496bfb3-d517-49b6-8b2f-1e99919270ca</t>
        </is>
      </c>
      <c r="C312" s="6" t="inlineStr">
        <is>
          <t>PCP</t>
        </is>
      </c>
      <c r="D312" s="6" t="inlineStr">
        <is>
          <t>Prospect</t>
        </is>
      </c>
      <c r="E312" s="6" t="inlineStr">
        <is>
          <t>Visit / Prospect</t>
        </is>
      </c>
      <c r="F312" s="6" t="n">
        <v>8</v>
      </c>
      <c r="G312" s="6" t="n">
        <v>0</v>
      </c>
      <c r="H312" s="6" t="inlineStr">
        <is>
          <t>0</t>
        </is>
      </c>
      <c r="I312" s="6" t="inlineStr">
        <is>
          <t>0</t>
        </is>
      </c>
      <c r="J312" s="6" t="inlineStr"/>
      <c r="K312" s="6" t="inlineStr">
        <is>
          <t>2026-04-22</t>
        </is>
      </c>
      <c r="L312" s="6" t="inlineStr">
        <is>
          <t>85</t>
        </is>
      </c>
      <c r="M312" s="6" t="n">
        <v/>
      </c>
      <c r="N312" s="6" t="inlineStr">
        <is>
          <t>45</t>
        </is>
      </c>
      <c r="O312" s="6" t="inlineStr">
        <is>
          <t>J-D31</t>
        </is>
      </c>
      <c r="P312" s="6" t="inlineStr">
        <is>
          <t>SOUTHGATE</t>
        </is>
      </c>
      <c r="Q312" s="6" t="inlineStr">
        <is>
          <t>13650 FORT ST, SOUTHGATE, MI, 48195</t>
        </is>
      </c>
      <c r="R312" s="6" t="inlineStr"/>
      <c r="S312" s="6" t="inlineStr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</row>
  </sheetData>
  <dataValidations count="5">
    <dataValidation sqref="T3:T312" showDropDown="0" showInputMessage="0" showErrorMessage="0" allowBlank="1" type="list">
      <formula1>"Keep,Remove,Reassign"</formula1>
    </dataValidation>
    <dataValidation sqref="V3:V312" showDropDown="0" showInputMessage="0" showErrorMessage="0" allowBlank="1" type="list">
      <formula1>"Tier 1,Tier 2,Tier 3,Prospect"</formula1>
    </dataValidation>
    <dataValidation sqref="W3:W312" showDropDown="0" showInputMessage="0" showErrorMessage="0" allowBlank="1" type="list">
      <formula1>"High,Medium,Low,None"</formula1>
    </dataValidation>
    <dataValidation sqref="X3:X312" showDropDown="0" showInputMessage="0" showErrorMessage="0" allowBlank="1" type="list">
      <formula1>"Yes,No,Unknown"</formula1>
    </dataValidation>
    <dataValidation sqref="Y3:Y312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9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9" customWidth="1" min="15" max="15"/>
    <col width="15" customWidth="1" min="16" max="16"/>
    <col width="32" customWidth="1" min="17" max="17"/>
    <col width="34" customWidth="1" min="18" max="18"/>
    <col width="30" customWidth="1" min="19" max="19"/>
    <col width="12" customWidth="1" min="20" max="20"/>
    <col width="14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26" customWidth="1" min="27" max="27"/>
    <col width="28" customWidth="1" min="28" max="28"/>
  </cols>
  <sheetData>
    <row r="1">
      <c r="A1" s="4" t="inlineStr">
        <is>
          <t>Account / Practice</t>
        </is>
      </c>
      <c r="B1" s="4" t="inlineStr">
        <is>
          <t>MMC Company ID</t>
        </is>
      </c>
      <c r="C1" s="4" t="inlineStr">
        <is>
          <t>Practice Type</t>
        </is>
      </c>
      <c r="D1" s="4" t="inlineStr">
        <is>
          <t>Tier</t>
        </is>
      </c>
      <c r="E1" s="4" t="inlineStr">
        <is>
          <t>Referral Evidence Band</t>
        </is>
      </c>
      <c r="F1" s="4" t="inlineStr">
        <is>
          <t>Target Score</t>
        </is>
      </c>
      <c r="G1" s="4" t="inlineStr">
        <is>
          <t>Spine 2026</t>
        </is>
      </c>
      <c r="H1" s="4" t="inlineStr">
        <is>
          <t>Ortho 2026</t>
        </is>
      </c>
      <c r="I1" s="4" t="inlineStr">
        <is>
          <t>Total B2B 2026</t>
        </is>
      </c>
      <c r="J1" s="4" t="inlineStr">
        <is>
          <t>Last Spine Patient</t>
        </is>
      </c>
      <c r="K1" s="4" t="inlineStr">
        <is>
          <t>Last Completed Visit</t>
        </is>
      </c>
      <c r="L1" s="4" t="inlineStr">
        <is>
          <t>Days Since Visit</t>
        </is>
      </c>
      <c r="M1" s="4" t="inlineStr">
        <is>
          <t>Median Visit→Appt Lag</t>
        </is>
      </c>
      <c r="N1" s="4" t="inlineStr">
        <is>
          <t>Planned Cadence (d)</t>
        </is>
      </c>
      <c r="O1" s="4" t="inlineStr">
        <is>
          <t>Route Day</t>
        </is>
      </c>
      <c r="P1" s="4" t="inlineStr">
        <is>
          <t>City</t>
        </is>
      </c>
      <c r="Q1" s="4" t="inlineStr">
        <is>
          <t>Full Address</t>
        </is>
      </c>
      <c r="R1" s="4" t="inlineStr">
        <is>
          <t>Known Referring Providers</t>
        </is>
      </c>
      <c r="S1" s="4" t="inlineStr">
        <is>
          <t>Pre-Flag (auto)</t>
        </is>
      </c>
      <c r="T1" s="4" t="inlineStr">
        <is>
          <t>Disposition</t>
        </is>
      </c>
      <c r="U1" s="4" t="inlineStr">
        <is>
          <t>Final Practice Type</t>
        </is>
      </c>
      <c r="V1" s="4" t="inlineStr">
        <is>
          <t>Final Tier</t>
        </is>
      </c>
      <c r="W1" s="4" t="inlineStr">
        <is>
          <t>Spine Opportunity</t>
        </is>
      </c>
      <c r="X1" s="4" t="inlineStr">
        <is>
          <t>Employed Spine/Neuro Provider?</t>
        </is>
      </c>
      <c r="Y1" s="4" t="inlineStr">
        <is>
          <t>Competitor / Referral Restriction?</t>
        </is>
      </c>
      <c r="Z1" s="4" t="inlineStr">
        <is>
          <t>Recommended Cadence (d)</t>
        </is>
      </c>
      <c r="AA1" s="4" t="inlineStr">
        <is>
          <t>Removal / Reassignment Reason</t>
        </is>
      </c>
      <c r="AB1" s="4" t="inlineStr">
        <is>
          <t>PL Notes</t>
        </is>
      </c>
    </row>
    <row r="2">
      <c r="A2" s="5" t="inlineStr">
        <is>
          <t>[EXAMPLE] Sample Family Medicine</t>
        </is>
      </c>
      <c r="B2" s="5" t="inlineStr">
        <is>
          <t>—</t>
        </is>
      </c>
      <c r="C2" s="5" t="inlineStr">
        <is>
          <t>PCP</t>
        </is>
      </c>
      <c r="D2" s="5" t="inlineStr">
        <is>
          <t>Tier 2</t>
        </is>
      </c>
      <c r="E2" s="5" t="inlineStr">
        <is>
          <t>Ortho Referrer</t>
        </is>
      </c>
      <c r="F2" s="5" t="n">
        <v>48</v>
      </c>
      <c r="G2" s="5" t="n">
        <v>0</v>
      </c>
      <c r="H2" s="5" t="n">
        <v>3</v>
      </c>
      <c r="I2" s="5" t="n">
        <v>4</v>
      </c>
      <c r="J2" s="5" t="inlineStr"/>
      <c r="K2" s="5" t="inlineStr">
        <is>
          <t>2026-06-12</t>
        </is>
      </c>
      <c r="L2" s="5" t="n">
        <v>39</v>
      </c>
      <c r="M2" s="5" t="inlineStr"/>
      <c r="N2" s="5" t="inlineStr">
        <is>
          <t>21</t>
        </is>
      </c>
      <c r="O2" s="5" t="inlineStr">
        <is>
          <t>K-D03</t>
        </is>
      </c>
      <c r="P2" s="5" t="inlineStr">
        <is>
          <t>Livonia</t>
        </is>
      </c>
      <c r="Q2" s="5" t="inlineStr">
        <is>
          <t>123 Example Rd</t>
        </is>
      </c>
      <c r="R2" s="5" t="inlineStr">
        <is>
          <t>Dr. A. Sample (3 ortho)</t>
        </is>
      </c>
      <c r="S2" s="5" t="inlineStr"/>
      <c r="T2" s="5" t="inlineStr">
        <is>
          <t>Keep</t>
        </is>
      </c>
      <c r="U2" s="5" t="inlineStr">
        <is>
          <t>PCP</t>
        </is>
      </c>
      <c r="V2" s="5" t="inlineStr">
        <is>
          <t>Tier 2</t>
        </is>
      </c>
      <c r="W2" s="5" t="inlineStr">
        <is>
          <t>Medium</t>
        </is>
      </c>
      <c r="X2" s="5" t="inlineStr">
        <is>
          <t>No</t>
        </is>
      </c>
      <c r="Y2" s="5" t="inlineStr">
        <is>
          <t>No</t>
        </is>
      </c>
      <c r="Z2" s="5" t="inlineStr">
        <is>
          <t>21</t>
        </is>
      </c>
      <c r="AA2" s="5" t="inlineStr"/>
      <c r="AB2" s="5" t="inlineStr">
        <is>
          <t>Solid ortho sender; pitch spine pathway next visit</t>
        </is>
      </c>
    </row>
    <row r="3">
      <c r="A3" s="6" t="inlineStr">
        <is>
          <t>Lakeview Medical Center</t>
        </is>
      </c>
      <c r="B3" s="6" t="inlineStr">
        <is>
          <t>64ed5116-24c0-4278-8d87-a7ca5f7d76c4</t>
        </is>
      </c>
      <c r="C3" s="6" t="inlineStr">
        <is>
          <t>PCP</t>
        </is>
      </c>
      <c r="D3" s="6" t="inlineStr">
        <is>
          <t>Tier 1</t>
        </is>
      </c>
      <c r="E3" s="6" t="inlineStr">
        <is>
          <t>Repeat Spine Referrer</t>
        </is>
      </c>
      <c r="F3" s="6" t="n">
        <v>99</v>
      </c>
      <c r="G3" s="6" t="n">
        <v>7</v>
      </c>
      <c r="H3" s="6" t="inlineStr">
        <is>
          <t>6</t>
        </is>
      </c>
      <c r="I3" s="6" t="inlineStr">
        <is>
          <t>13</t>
        </is>
      </c>
      <c r="J3" s="6" t="inlineStr">
        <is>
          <t>2026-05-14</t>
        </is>
      </c>
      <c r="K3" s="6" t="inlineStr">
        <is>
          <t>2026-07-09</t>
        </is>
      </c>
      <c r="L3" s="6" t="inlineStr">
        <is>
          <t>7</t>
        </is>
      </c>
      <c r="M3" s="6" t="inlineStr">
        <is>
          <t>15</t>
        </is>
      </c>
      <c r="N3" s="6" t="inlineStr">
        <is>
          <t>14</t>
        </is>
      </c>
      <c r="O3" s="6" t="inlineStr">
        <is>
          <t>C-D06</t>
        </is>
      </c>
      <c r="P3" s="6" t="inlineStr">
        <is>
          <t>St. Clair Shores</t>
        </is>
      </c>
      <c r="Q3" s="6" t="inlineStr">
        <is>
          <t>23600 Harper Ave ste 103 St Clair Shores, St. Clair Shores, Michigan, 48080</t>
        </is>
      </c>
      <c r="R3" s="6" t="inlineStr">
        <is>
          <t>Magdy Wanis, MD (5 spine) · Rachel N Kloski, PA-C (2 spine)</t>
        </is>
      </c>
      <c r="S3" s="6" t="inlineStr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6" t="inlineStr">
        <is>
          <t>Schoenherr Family Practice</t>
        </is>
      </c>
      <c r="B4" s="6" t="inlineStr">
        <is>
          <t>e9020844-6b2a-43b6-9416-51116e859cc2</t>
        </is>
      </c>
      <c r="C4" s="6" t="inlineStr">
        <is>
          <t>PCP</t>
        </is>
      </c>
      <c r="D4" s="6" t="inlineStr">
        <is>
          <t>Tier 1</t>
        </is>
      </c>
      <c r="E4" s="6" t="inlineStr">
        <is>
          <t>Repeat Spine Referrer</t>
        </is>
      </c>
      <c r="F4" s="6" t="n">
        <v>99</v>
      </c>
      <c r="G4" s="6" t="n">
        <v>6</v>
      </c>
      <c r="H4" s="6" t="inlineStr">
        <is>
          <t>2</t>
        </is>
      </c>
      <c r="I4" s="6" t="inlineStr">
        <is>
          <t>8</t>
        </is>
      </c>
      <c r="J4" s="6" t="inlineStr">
        <is>
          <t>2026-06-04</t>
        </is>
      </c>
      <c r="K4" s="6" t="inlineStr">
        <is>
          <t>2026-07-07</t>
        </is>
      </c>
      <c r="L4" s="6" t="inlineStr">
        <is>
          <t>9</t>
        </is>
      </c>
      <c r="M4" s="6" t="inlineStr">
        <is>
          <t>17</t>
        </is>
      </c>
      <c r="N4" s="6" t="inlineStr">
        <is>
          <t>14</t>
        </is>
      </c>
      <c r="O4" s="6" t="inlineStr">
        <is>
          <t>C-D07</t>
        </is>
      </c>
      <c r="P4" s="6" t="inlineStr">
        <is>
          <t>Shelby Township</t>
        </is>
      </c>
      <c r="Q4" s="6" t="inlineStr">
        <is>
          <t>13350 24 Mile Rd ste 200, Shelby Township, Michigan, 48315</t>
        </is>
      </c>
      <c r="R4" s="6" t="inlineStr">
        <is>
          <t>Kelly K Machesky, MD (6 spine) · Matthew Romano (1 ortho)</t>
        </is>
      </c>
      <c r="S4" s="6" t="inlineStr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6" t="inlineStr">
        <is>
          <t>Office of George Nassif MD</t>
        </is>
      </c>
      <c r="B5" s="6" t="inlineStr">
        <is>
          <t>1225209075</t>
        </is>
      </c>
      <c r="C5" s="6" t="inlineStr">
        <is>
          <t>PCP</t>
        </is>
      </c>
      <c r="D5" s="6" t="inlineStr">
        <is>
          <t>Tier 1</t>
        </is>
      </c>
      <c r="E5" s="6" t="inlineStr">
        <is>
          <t>Repeat Spine Referrer</t>
        </is>
      </c>
      <c r="F5" s="6" t="n">
        <v>91</v>
      </c>
      <c r="G5" s="6" t="n">
        <v>4</v>
      </c>
      <c r="H5" s="6" t="inlineStr">
        <is>
          <t>0</t>
        </is>
      </c>
      <c r="I5" s="6" t="inlineStr">
        <is>
          <t>4</t>
        </is>
      </c>
      <c r="J5" s="6" t="inlineStr">
        <is>
          <t>2026-06-15</t>
        </is>
      </c>
      <c r="K5" s="6" t="inlineStr">
        <is>
          <t>2026-06-18</t>
        </is>
      </c>
      <c r="L5" s="6" t="inlineStr">
        <is>
          <t>28</t>
        </is>
      </c>
      <c r="M5" s="6" t="inlineStr">
        <is>
          <t>29.5</t>
        </is>
      </c>
      <c r="N5" s="6" t="inlineStr">
        <is>
          <t>14</t>
        </is>
      </c>
      <c r="O5" s="6" t="inlineStr">
        <is>
          <t>C-D08</t>
        </is>
      </c>
      <c r="P5" s="6" t="inlineStr">
        <is>
          <t>Clinton Township</t>
        </is>
      </c>
      <c r="Q5" s="6" t="inlineStr">
        <is>
          <t>42621 Garfield Rd, ste 108, Clinton Township, MI, 480385031</t>
        </is>
      </c>
      <c r="R5" s="6" t="inlineStr">
        <is>
          <t>George Helmy Nassif, MD (4 spine)</t>
        </is>
      </c>
      <c r="S5" s="6" t="inlineStr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6" t="inlineStr">
        <is>
          <t>North Valley Internal Medicine</t>
        </is>
      </c>
      <c r="B6" s="6" t="inlineStr">
        <is>
          <t>063204da-544e-4bdd-a18b-f483a5c16ad9</t>
        </is>
      </c>
      <c r="C6" s="6" t="inlineStr">
        <is>
          <t>PCP</t>
        </is>
      </c>
      <c r="D6" s="6" t="inlineStr">
        <is>
          <t>Tier 1</t>
        </is>
      </c>
      <c r="E6" s="6" t="inlineStr">
        <is>
          <t>Repeat Spine Referrer</t>
        </is>
      </c>
      <c r="F6" s="6" t="n">
        <v>91</v>
      </c>
      <c r="G6" s="6" t="n">
        <v>3</v>
      </c>
      <c r="H6" s="6" t="inlineStr">
        <is>
          <t>0</t>
        </is>
      </c>
      <c r="I6" s="6" t="inlineStr">
        <is>
          <t>3</t>
        </is>
      </c>
      <c r="J6" s="6" t="inlineStr">
        <is>
          <t>2026-05-22</t>
        </is>
      </c>
      <c r="K6" s="6" t="inlineStr">
        <is>
          <t>2026-07-16</t>
        </is>
      </c>
      <c r="L6" s="6" t="inlineStr">
        <is>
          <t>0</t>
        </is>
      </c>
      <c r="M6" s="6" t="inlineStr">
        <is>
          <t>24</t>
        </is>
      </c>
      <c r="N6" s="6" t="inlineStr">
        <is>
          <t>14</t>
        </is>
      </c>
      <c r="O6" s="6" t="inlineStr">
        <is>
          <t>C-D09</t>
        </is>
      </c>
      <c r="P6" s="6" t="inlineStr">
        <is>
          <t>Highland Charter Township</t>
        </is>
      </c>
      <c r="Q6" s="6" t="inlineStr">
        <is>
          <t>2330 S Milford Rd, ste 120 Highland, Highland Charter Township, Michigan, 48357</t>
        </is>
      </c>
      <c r="R6" s="6" t="inlineStr">
        <is>
          <t>Brandon Genson, DO (2 spine) · Ryan Johnston, PA-C (1 spine)</t>
        </is>
      </c>
      <c r="S6" s="6" t="inlineStr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>
      <c r="A7" s="6" t="inlineStr">
        <is>
          <t>Be Well Medical Center</t>
        </is>
      </c>
      <c r="B7" s="6" t="inlineStr">
        <is>
          <t>1174554364</t>
        </is>
      </c>
      <c r="C7" s="6" t="inlineStr">
        <is>
          <t>PCP</t>
        </is>
      </c>
      <c r="D7" s="6" t="inlineStr">
        <is>
          <t>Tier 1</t>
        </is>
      </c>
      <c r="E7" s="6" t="inlineStr">
        <is>
          <t>Repeat Spine Referrer</t>
        </is>
      </c>
      <c r="F7" s="6" t="n">
        <v>88</v>
      </c>
      <c r="G7" s="6" t="n">
        <v>3</v>
      </c>
      <c r="H7" s="6" t="inlineStr">
        <is>
          <t>11</t>
        </is>
      </c>
      <c r="I7" s="6" t="inlineStr">
        <is>
          <t>17</t>
        </is>
      </c>
      <c r="J7" s="6" t="inlineStr">
        <is>
          <t>2026-07-08</t>
        </is>
      </c>
      <c r="K7" s="6" t="inlineStr">
        <is>
          <t>2026-04-21</t>
        </is>
      </c>
      <c r="L7" s="6" t="inlineStr">
        <is>
          <t>86</t>
        </is>
      </c>
      <c r="M7" s="6" t="inlineStr">
        <is>
          <t>17</t>
        </is>
      </c>
      <c r="N7" s="6" t="inlineStr">
        <is>
          <t>14</t>
        </is>
      </c>
      <c r="O7" s="6" t="inlineStr">
        <is>
          <t>C-D04</t>
        </is>
      </c>
      <c r="P7" s="6" t="inlineStr">
        <is>
          <t>Berkley</t>
        </is>
      </c>
      <c r="Q7" s="6" t="inlineStr">
        <is>
          <t>1964 11 Mile Rd, Berkley, MI, 48072</t>
        </is>
      </c>
      <c r="R7" s="6" t="inlineStr">
        <is>
          <t>Mark Rosen, PA-C (1 spine) · Mark Bornstein, DO (1 spine) · Caleb Youngblood Pa C (1 spine) · Paul A Benson, DO (3 ortho) · Rosen PA-C, Mark (ZOC DOC) (1 ortho)</t>
        </is>
      </c>
      <c r="S7" s="6" t="inlineStr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>
      <c r="A8" s="6" t="inlineStr">
        <is>
          <t>The Family Doctor</t>
        </is>
      </c>
      <c r="B8" s="6" t="inlineStr">
        <is>
          <t>23a703a6-5bde-4887-845c-b78a61128817</t>
        </is>
      </c>
      <c r="C8" s="6" t="inlineStr">
        <is>
          <t>PCP</t>
        </is>
      </c>
      <c r="D8" s="6" t="inlineStr">
        <is>
          <t>Tier 1</t>
        </is>
      </c>
      <c r="E8" s="6" t="inlineStr">
        <is>
          <t>Repeat Spine Referrer</t>
        </is>
      </c>
      <c r="F8" s="6" t="n">
        <v>85</v>
      </c>
      <c r="G8" s="6" t="n">
        <v>2</v>
      </c>
      <c r="H8" s="6" t="inlineStr">
        <is>
          <t>1</t>
        </is>
      </c>
      <c r="I8" s="6" t="inlineStr">
        <is>
          <t>3</t>
        </is>
      </c>
      <c r="J8" s="6" t="inlineStr">
        <is>
          <t>2026-05-14</t>
        </is>
      </c>
      <c r="K8" s="6" t="inlineStr">
        <is>
          <t>2026-07-10</t>
        </is>
      </c>
      <c r="L8" s="6" t="inlineStr">
        <is>
          <t>6</t>
        </is>
      </c>
      <c r="M8" s="6" t="inlineStr">
        <is>
          <t>19</t>
        </is>
      </c>
      <c r="N8" s="6" t="inlineStr">
        <is>
          <t>14</t>
        </is>
      </c>
      <c r="O8" s="6" t="inlineStr">
        <is>
          <t>C-D01</t>
        </is>
      </c>
      <c r="P8" s="6" t="inlineStr">
        <is>
          <t>Clinton Township</t>
        </is>
      </c>
      <c r="Q8" s="6" t="inlineStr">
        <is>
          <t>15501 Metro Parkway, Clinton Township, Michigan, 48036</t>
        </is>
      </c>
      <c r="R8" s="6" t="inlineStr">
        <is>
          <t>Keith Mckenzie, MD (1 spine) · Claudia Pop, MD (1 spine)</t>
        </is>
      </c>
      <c r="S8" s="6" t="inlineStr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>
      <c r="A9" s="6" t="inlineStr">
        <is>
          <t>Faith Internal Medicine &amp; Urgent Care</t>
        </is>
      </c>
      <c r="B9" s="6" t="inlineStr">
        <is>
          <t>677326d2-4ba2-4a49-a6f1-e7633a9a8401</t>
        </is>
      </c>
      <c r="C9" s="6" t="inlineStr">
        <is>
          <t>PCP</t>
        </is>
      </c>
      <c r="D9" s="6" t="inlineStr">
        <is>
          <t>Tier 1</t>
        </is>
      </c>
      <c r="E9" s="6" t="inlineStr">
        <is>
          <t>Repeat Spine Referrer</t>
        </is>
      </c>
      <c r="F9" s="6" t="n">
        <v>85</v>
      </c>
      <c r="G9" s="6" t="n">
        <v>2</v>
      </c>
      <c r="H9" s="6" t="inlineStr">
        <is>
          <t>7</t>
        </is>
      </c>
      <c r="I9" s="6" t="inlineStr">
        <is>
          <t>10</t>
        </is>
      </c>
      <c r="J9" s="6" t="inlineStr">
        <is>
          <t>2026-06-22</t>
        </is>
      </c>
      <c r="K9" s="6" t="inlineStr">
        <is>
          <t>2026-06-19</t>
        </is>
      </c>
      <c r="L9" s="6" t="inlineStr">
        <is>
          <t>27</t>
        </is>
      </c>
      <c r="M9" s="6" t="inlineStr">
        <is>
          <t>20</t>
        </is>
      </c>
      <c r="N9" s="6" t="inlineStr">
        <is>
          <t>14</t>
        </is>
      </c>
      <c r="O9" s="6" t="inlineStr">
        <is>
          <t>C-D10</t>
        </is>
      </c>
      <c r="P9" s="6" t="inlineStr">
        <is>
          <t>Livonia</t>
        </is>
      </c>
      <c r="Q9" s="6" t="inlineStr">
        <is>
          <t>15645 Farmington Rd, Livonia, Michigan, 48154</t>
        </is>
      </c>
      <c r="R9" s="6" t="inlineStr">
        <is>
          <t>Laith J Jacob Mbchb (2 spine) · Laith Jacob, MD (1 ortho)</t>
        </is>
      </c>
      <c r="S9" s="6" t="inlineStr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>
      <c r="A10" s="6" t="inlineStr">
        <is>
          <t>Oakland Primary Care</t>
        </is>
      </c>
      <c r="B10" s="6" t="inlineStr">
        <is>
          <t>1952660706</t>
        </is>
      </c>
      <c r="C10" s="6" t="inlineStr">
        <is>
          <t>PCP</t>
        </is>
      </c>
      <c r="D10" s="6" t="inlineStr">
        <is>
          <t>Tier 1</t>
        </is>
      </c>
      <c r="E10" s="6" t="inlineStr">
        <is>
          <t>Repeat Spine Referrer</t>
        </is>
      </c>
      <c r="F10" s="6" t="n">
        <v>84</v>
      </c>
      <c r="G10" s="6" t="n">
        <v>2</v>
      </c>
      <c r="H10" s="6" t="inlineStr">
        <is>
          <t>4</t>
        </is>
      </c>
      <c r="I10" s="6" t="inlineStr">
        <is>
          <t>6</t>
        </is>
      </c>
      <c r="J10" s="6" t="inlineStr">
        <is>
          <t>2026-06-15</t>
        </is>
      </c>
      <c r="K10" s="6" t="inlineStr">
        <is>
          <t>2026-06-18</t>
        </is>
      </c>
      <c r="L10" s="6" t="inlineStr">
        <is>
          <t>28</t>
        </is>
      </c>
      <c r="M10" s="6" t="inlineStr">
        <is>
          <t>24</t>
        </is>
      </c>
      <c r="N10" s="6" t="inlineStr">
        <is>
          <t>14</t>
        </is>
      </c>
      <c r="O10" s="6" t="inlineStr">
        <is>
          <t>C-D11</t>
        </is>
      </c>
      <c r="P10" s="6" t="inlineStr">
        <is>
          <t>Warren</t>
        </is>
      </c>
      <c r="Q10" s="6" t="inlineStr">
        <is>
          <t>27450 Schoenherr, ste 400, Warren, Michigan, 48088</t>
        </is>
      </c>
      <c r="R10" s="6" t="inlineStr">
        <is>
          <t>Jason I Soffa, DO (2 spine) · Uroob Rahman, MD (1 ortho) · Ryan Smith DO (1 ortho) · Jason Soffa, DO (1 ortho)</t>
        </is>
      </c>
      <c r="S10" s="6" t="inlineStr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>
      <c r="A11" s="6" t="inlineStr">
        <is>
          <t>Chronic Pain Institute</t>
        </is>
      </c>
      <c r="B11" s="6" t="inlineStr">
        <is>
          <t>11ed7e07-a278-4fda-90ea-e3baede80121</t>
        </is>
      </c>
      <c r="C11" s="6" t="inlineStr">
        <is>
          <t>Pain</t>
        </is>
      </c>
      <c r="D11" s="6" t="inlineStr">
        <is>
          <t>Tier 1</t>
        </is>
      </c>
      <c r="E11" s="6" t="inlineStr">
        <is>
          <t>Repeat Spine Referrer</t>
        </is>
      </c>
      <c r="F11" s="6" t="n">
        <v>83</v>
      </c>
      <c r="G11" s="6" t="n">
        <v>2</v>
      </c>
      <c r="H11" s="6" t="inlineStr">
        <is>
          <t>0</t>
        </is>
      </c>
      <c r="I11" s="6" t="inlineStr">
        <is>
          <t>2</t>
        </is>
      </c>
      <c r="J11" s="6" t="inlineStr">
        <is>
          <t>2026-06-30</t>
        </is>
      </c>
      <c r="K11" s="6" t="inlineStr">
        <is>
          <t>2026-06-02</t>
        </is>
      </c>
      <c r="L11" s="6" t="inlineStr">
        <is>
          <t>44</t>
        </is>
      </c>
      <c r="M11" s="6" t="inlineStr">
        <is>
          <t>24.5</t>
        </is>
      </c>
      <c r="N11" s="6" t="inlineStr">
        <is>
          <t>14</t>
        </is>
      </c>
      <c r="O11" s="6" t="inlineStr">
        <is>
          <t>C-D01</t>
        </is>
      </c>
      <c r="P11" s="6" t="inlineStr">
        <is>
          <t>Sterling Heights</t>
        </is>
      </c>
      <c r="Q11" s="6" t="inlineStr">
        <is>
          <t>43145 Schoenherr Rd, Sterling Heights, Michigan, 48313</t>
        </is>
      </c>
      <c r="R11" s="6" t="inlineStr">
        <is>
          <t>Kuldip S Deogun, MD (2 spine)</t>
        </is>
      </c>
      <c r="S11" s="6" t="inlineStr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>
      <c r="A12" s="6" t="inlineStr">
        <is>
          <t>MEDPRO PRIMARY CARE - Waltz Rd</t>
        </is>
      </c>
      <c r="B12" s="6" t="inlineStr">
        <is>
          <t>5ba2b7d1-0a31-458d-95a0-4ba47f0574a0</t>
        </is>
      </c>
      <c r="C12" s="6" t="inlineStr">
        <is>
          <t>Pain</t>
        </is>
      </c>
      <c r="D12" s="6" t="inlineStr">
        <is>
          <t>Tier 1</t>
        </is>
      </c>
      <c r="E12" s="6" t="inlineStr">
        <is>
          <t>Repeat Spine Referrer</t>
        </is>
      </c>
      <c r="F12" s="6" t="n">
        <v>83</v>
      </c>
      <c r="G12" s="6" t="n">
        <v>2</v>
      </c>
      <c r="H12" s="6" t="inlineStr">
        <is>
          <t>0</t>
        </is>
      </c>
      <c r="I12" s="6" t="inlineStr">
        <is>
          <t>2</t>
        </is>
      </c>
      <c r="J12" s="6" t="inlineStr">
        <is>
          <t>2026-05-18</t>
        </is>
      </c>
      <c r="K12" s="6" t="inlineStr">
        <is>
          <t>2026-02-17</t>
        </is>
      </c>
      <c r="L12" s="6" t="inlineStr">
        <is>
          <t>149</t>
        </is>
      </c>
      <c r="M12" s="6" t="inlineStr">
        <is>
          <t>94.5</t>
        </is>
      </c>
      <c r="N12" s="6" t="inlineStr">
        <is>
          <t>14</t>
        </is>
      </c>
      <c r="O12" s="6" t="inlineStr">
        <is>
          <t>C-D12</t>
        </is>
      </c>
      <c r="P12" s="6" t="inlineStr">
        <is>
          <t>NEW BOSTON</t>
        </is>
      </c>
      <c r="Q12" s="6" t="inlineStr">
        <is>
          <t>21057 Waltz Rd, NEW BOSTON, Michigan, 48164</t>
        </is>
      </c>
      <c r="R12" s="6" t="inlineStr">
        <is>
          <t>Ashleigh Finazzo, PA-C (2 spine)</t>
        </is>
      </c>
      <c r="S12" s="6" t="inlineStr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>
      <c r="A13" s="6" t="inlineStr">
        <is>
          <t>DMC Orthopedics &amp; Sports Medicine - Warren</t>
        </is>
      </c>
      <c r="B13" s="6" t="inlineStr">
        <is>
          <t>1285806067</t>
        </is>
      </c>
      <c r="C13" s="6" t="inlineStr">
        <is>
          <t>Orthopedic</t>
        </is>
      </c>
      <c r="D13" s="6" t="inlineStr">
        <is>
          <t>Tier 1</t>
        </is>
      </c>
      <c r="E13" s="6" t="inlineStr">
        <is>
          <t>One Spine Patient</t>
        </is>
      </c>
      <c r="F13" s="6" t="n">
        <v>73</v>
      </c>
      <c r="G13" s="6" t="n">
        <v>1</v>
      </c>
      <c r="H13" s="6" t="inlineStr">
        <is>
          <t>0</t>
        </is>
      </c>
      <c r="I13" s="6" t="inlineStr">
        <is>
          <t>1</t>
        </is>
      </c>
      <c r="J13" s="6" t="inlineStr">
        <is>
          <t>2026-02-17</t>
        </is>
      </c>
      <c r="K13" s="6" t="inlineStr">
        <is>
          <t>2026-06-26</t>
        </is>
      </c>
      <c r="L13" s="6" t="inlineStr">
        <is>
          <t>20</t>
        </is>
      </c>
      <c r="M13" s="6" t="inlineStr">
        <is>
          <t>5</t>
        </is>
      </c>
      <c r="N13" s="6" t="inlineStr">
        <is>
          <t>14</t>
        </is>
      </c>
      <c r="O13" s="6" t="inlineStr">
        <is>
          <t>C-D01</t>
        </is>
      </c>
      <c r="P13" s="6" t="inlineStr">
        <is>
          <t>Sterling Heihhts</t>
        </is>
      </c>
      <c r="Q13" s="6" t="inlineStr">
        <is>
          <t>33703 Van Dyke Ave, Sterling Heihhts, MI, 48312</t>
        </is>
      </c>
      <c r="R13" s="6" t="inlineStr">
        <is>
          <t>Britta Anderson, DO (1 spine)</t>
        </is>
      </c>
      <c r="S13" s="6" t="inlineStr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>
      <c r="A14" s="6" t="inlineStr">
        <is>
          <t>Macomb Physicians Group</t>
        </is>
      </c>
      <c r="B14" s="6" t="inlineStr">
        <is>
          <t>fdefbf3e-907d-4d68-bbd3-2d70f4818b7a</t>
        </is>
      </c>
      <c r="C14" s="6" t="inlineStr">
        <is>
          <t>PCP</t>
        </is>
      </c>
      <c r="D14" s="6" t="inlineStr">
        <is>
          <t>Tier 1</t>
        </is>
      </c>
      <c r="E14" s="6" t="inlineStr">
        <is>
          <t>One Spine Patient</t>
        </is>
      </c>
      <c r="F14" s="6" t="n">
        <v>72</v>
      </c>
      <c r="G14" s="6" t="n">
        <v>1</v>
      </c>
      <c r="H14" s="6" t="inlineStr">
        <is>
          <t>8</t>
        </is>
      </c>
      <c r="I14" s="6" t="inlineStr">
        <is>
          <t>9</t>
        </is>
      </c>
      <c r="J14" s="6" t="inlineStr">
        <is>
          <t>2026-07-07</t>
        </is>
      </c>
      <c r="K14" s="6" t="inlineStr">
        <is>
          <t>2026-07-02</t>
        </is>
      </c>
      <c r="L14" s="6" t="inlineStr">
        <is>
          <t>14</t>
        </is>
      </c>
      <c r="M14" s="6" t="inlineStr">
        <is>
          <t>27</t>
        </is>
      </c>
      <c r="N14" s="6" t="inlineStr">
        <is>
          <t>14</t>
        </is>
      </c>
      <c r="O14" s="6" t="inlineStr">
        <is>
          <t>C-D01</t>
        </is>
      </c>
      <c r="P14" s="6" t="inlineStr">
        <is>
          <t>Sterling Heights</t>
        </is>
      </c>
      <c r="Q14" s="6" t="inlineStr">
        <is>
          <t>8244 Metro Parkway, Sterling Heights, Michigan, 48312</t>
        </is>
      </c>
      <c r="R14" s="6" t="inlineStr">
        <is>
          <t>Lalitha Koneru, MD (1 spine) · Gordhan Diora, MD (3 ortho) · Mark H Stephen, MD (2 ortho) · Mark Stephen, MD (1 ortho)</t>
        </is>
      </c>
      <c r="S14" s="6" t="inlineStr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>
      <c r="A15" s="6" t="inlineStr">
        <is>
          <t>Community First Health Centers - New Haven</t>
        </is>
      </c>
      <c r="B15" s="6" t="inlineStr">
        <is>
          <t>8cef9fd7-931c-4e45-bf44-0cac47716f62</t>
        </is>
      </c>
      <c r="C15" s="6" t="inlineStr">
        <is>
          <t>PCP</t>
        </is>
      </c>
      <c r="D15" s="6" t="inlineStr">
        <is>
          <t>Tier 1</t>
        </is>
      </c>
      <c r="E15" s="6" t="inlineStr">
        <is>
          <t>One Spine Patient</t>
        </is>
      </c>
      <c r="F15" s="6" t="n">
        <v>72</v>
      </c>
      <c r="G15" s="6" t="n">
        <v>1</v>
      </c>
      <c r="H15" s="6" t="inlineStr">
        <is>
          <t>0</t>
        </is>
      </c>
      <c r="I15" s="6" t="inlineStr">
        <is>
          <t>1</t>
        </is>
      </c>
      <c r="J15" s="6" t="inlineStr">
        <is>
          <t>2026-06-09</t>
        </is>
      </c>
      <c r="K15" s="6" t="inlineStr">
        <is>
          <t>2026-06-30</t>
        </is>
      </c>
      <c r="L15" s="6" t="inlineStr">
        <is>
          <t>16</t>
        </is>
      </c>
      <c r="M15" s="6" t="inlineStr">
        <is>
          <t>21</t>
        </is>
      </c>
      <c r="N15" s="6" t="inlineStr">
        <is>
          <t>14</t>
        </is>
      </c>
      <c r="O15" s="6" t="inlineStr">
        <is>
          <t>C-D02</t>
        </is>
      </c>
      <c r="P15" s="6" t="inlineStr">
        <is>
          <t>New Haven</t>
        </is>
      </c>
      <c r="Q15" s="6" t="inlineStr">
        <is>
          <t>58144 Gratiot Ave, New Haven, Michigan, 48048</t>
        </is>
      </c>
      <c r="R15" s="6" t="inlineStr">
        <is>
          <t>Shelia Singleton, MD (1 spine)</t>
        </is>
      </c>
      <c r="S15" s="6" t="inlineStr">
        <is>
          <t>Medicaid-likely — verify payer</t>
        </is>
      </c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>
      <c r="A16" s="6" t="inlineStr">
        <is>
          <t>Preferred Medical Group</t>
        </is>
      </c>
      <c r="B16" s="6" t="inlineStr">
        <is>
          <t>1356443600</t>
        </is>
      </c>
      <c r="C16" s="6" t="inlineStr">
        <is>
          <t>Orthopedic</t>
        </is>
      </c>
      <c r="D16" s="6" t="inlineStr">
        <is>
          <t>Tier 1</t>
        </is>
      </c>
      <c r="E16" s="6" t="inlineStr">
        <is>
          <t>One Spine Patient</t>
        </is>
      </c>
      <c r="F16" s="6" t="n">
        <v>72</v>
      </c>
      <c r="G16" s="6" t="n">
        <v>1</v>
      </c>
      <c r="H16" s="6" t="inlineStr">
        <is>
          <t>1</t>
        </is>
      </c>
      <c r="I16" s="6" t="inlineStr">
        <is>
          <t>2</t>
        </is>
      </c>
      <c r="J16" s="6" t="inlineStr">
        <is>
          <t>2026-06-25</t>
        </is>
      </c>
      <c r="K16" s="6" t="inlineStr">
        <is>
          <t>2026-06-24</t>
        </is>
      </c>
      <c r="L16" s="6" t="inlineStr">
        <is>
          <t>22</t>
        </is>
      </c>
      <c r="M16" s="6" t="inlineStr">
        <is>
          <t>1</t>
        </is>
      </c>
      <c r="N16" s="6" t="inlineStr">
        <is>
          <t>14</t>
        </is>
      </c>
      <c r="O16" s="6" t="inlineStr">
        <is>
          <t>C-D04</t>
        </is>
      </c>
      <c r="P16" s="6" t="inlineStr">
        <is>
          <t>Madison Heights</t>
        </is>
      </c>
      <c r="Q16" s="6" t="inlineStr">
        <is>
          <t>1200 W 12 Mile Rd, Madison Heights, MI, 48071</t>
        </is>
      </c>
      <c r="R16" s="6" t="inlineStr">
        <is>
          <t>Rachel Gillespie, DPM (1 spine) · Rachael Ustruck, DO (1 ortho)</t>
        </is>
      </c>
      <c r="S16" s="6" t="inlineStr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>
      <c r="A17" s="6" t="inlineStr">
        <is>
          <t>Henry Ford St. John Center for Wellness</t>
        </is>
      </c>
      <c r="B17" s="6" t="inlineStr">
        <is>
          <t>5e640eee-6b5a-442a-8222-bd81d0a228ec</t>
        </is>
      </c>
      <c r="C17" s="6" t="inlineStr">
        <is>
          <t>PCP</t>
        </is>
      </c>
      <c r="D17" s="6" t="inlineStr">
        <is>
          <t>Tier 1</t>
        </is>
      </c>
      <c r="E17" s="6" t="inlineStr">
        <is>
          <t>One Spine Patient</t>
        </is>
      </c>
      <c r="F17" s="6" t="n">
        <v>72</v>
      </c>
      <c r="G17" s="6" t="n">
        <v>1</v>
      </c>
      <c r="H17" s="6" t="inlineStr">
        <is>
          <t>1</t>
        </is>
      </c>
      <c r="I17" s="6" t="inlineStr">
        <is>
          <t>3</t>
        </is>
      </c>
      <c r="J17" s="6" t="inlineStr">
        <is>
          <t>2026-05-18</t>
        </is>
      </c>
      <c r="K17" s="6" t="inlineStr">
        <is>
          <t>2026-06-25</t>
        </is>
      </c>
      <c r="L17" s="6" t="inlineStr">
        <is>
          <t>21</t>
        </is>
      </c>
      <c r="M17" s="6" t="inlineStr">
        <is>
          <t>405</t>
        </is>
      </c>
      <c r="N17" s="6" t="inlineStr">
        <is>
          <t>14</t>
        </is>
      </c>
      <c r="O17" s="6" t="inlineStr">
        <is>
          <t>C-D05</t>
        </is>
      </c>
      <c r="P17" s="6" t="inlineStr">
        <is>
          <t>Roseville</t>
        </is>
      </c>
      <c r="Q17" s="6" t="inlineStr">
        <is>
          <t>18303 E 10 Mile Rd #500, Roseville, Michigan, 48066</t>
        </is>
      </c>
      <c r="R17" s="6" t="inlineStr">
        <is>
          <t>Lydia Joy Rayes, DO (1 spine)</t>
        </is>
      </c>
      <c r="S17" s="6" t="inlineStr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>
      <c r="A18" s="6" t="inlineStr">
        <is>
          <t>Brighton Internal Medicine</t>
        </is>
      </c>
      <c r="B18" s="6" t="inlineStr">
        <is>
          <t>02e450b1-82e8-408a-a0a4-fa7af806ed2b</t>
        </is>
      </c>
      <c r="C18" s="6" t="inlineStr">
        <is>
          <t>PCP</t>
        </is>
      </c>
      <c r="D18" s="6" t="inlineStr">
        <is>
          <t>Tier 1</t>
        </is>
      </c>
      <c r="E18" s="6" t="inlineStr">
        <is>
          <t>One Spine Patient</t>
        </is>
      </c>
      <c r="F18" s="6" t="n">
        <v>72</v>
      </c>
      <c r="G18" s="6" t="n">
        <v>1</v>
      </c>
      <c r="H18" s="6" t="inlineStr">
        <is>
          <t>0</t>
        </is>
      </c>
      <c r="I18" s="6" t="inlineStr">
        <is>
          <t>1</t>
        </is>
      </c>
      <c r="J18" s="6" t="inlineStr">
        <is>
          <t>2026-01-06</t>
        </is>
      </c>
      <c r="K18" s="6" t="inlineStr">
        <is>
          <t>2026-07-16</t>
        </is>
      </c>
      <c r="L18" s="6" t="inlineStr">
        <is>
          <t>0</t>
        </is>
      </c>
      <c r="M18" s="6" t="inlineStr">
        <is>
          <t>63</t>
        </is>
      </c>
      <c r="N18" s="6" t="inlineStr">
        <is>
          <t>14</t>
        </is>
      </c>
      <c r="O18" s="6" t="inlineStr">
        <is>
          <t>C-D13</t>
        </is>
      </c>
      <c r="P18" s="6" t="inlineStr">
        <is>
          <t>Howell</t>
        </is>
      </c>
      <c r="Q18" s="6" t="inlineStr">
        <is>
          <t>1225 S Latson Rd #200, Howell, Michigan, 48843</t>
        </is>
      </c>
      <c r="R18" s="6" t="inlineStr">
        <is>
          <t>Syed Masood Shahab, MD (1 spine)</t>
        </is>
      </c>
      <c r="S18" s="6" t="inlineStr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>
      <c r="A19" s="6" t="inlineStr">
        <is>
          <t>Macomb Medical Clinic</t>
        </is>
      </c>
      <c r="B19" s="6" t="inlineStr">
        <is>
          <t>1992782320</t>
        </is>
      </c>
      <c r="C19" s="6" t="inlineStr">
        <is>
          <t>PCP</t>
        </is>
      </c>
      <c r="D19" s="6" t="inlineStr">
        <is>
          <t>Tier 1</t>
        </is>
      </c>
      <c r="E19" s="6" t="inlineStr">
        <is>
          <t>One Spine Patient</t>
        </is>
      </c>
      <c r="F19" s="6" t="n">
        <v>72</v>
      </c>
      <c r="G19" s="6" t="n">
        <v>1</v>
      </c>
      <c r="H19" s="6" t="inlineStr">
        <is>
          <t>10</t>
        </is>
      </c>
      <c r="I19" s="6" t="inlineStr">
        <is>
          <t>12</t>
        </is>
      </c>
      <c r="J19" s="6" t="inlineStr">
        <is>
          <t>2026-07-09</t>
        </is>
      </c>
      <c r="K19" s="6" t="inlineStr">
        <is>
          <t>2026-07-02</t>
        </is>
      </c>
      <c r="L19" s="6" t="inlineStr">
        <is>
          <t>14</t>
        </is>
      </c>
      <c r="M19" s="6" t="inlineStr">
        <is>
          <t>22.5</t>
        </is>
      </c>
      <c r="N19" s="6" t="inlineStr">
        <is>
          <t>14</t>
        </is>
      </c>
      <c r="O19" s="6" t="inlineStr">
        <is>
          <t>C-D14</t>
        </is>
      </c>
      <c r="P19" s="6" t="inlineStr">
        <is>
          <t>Sterling Heights</t>
        </is>
      </c>
      <c r="Q19" s="6" t="inlineStr">
        <is>
          <t>2405 E 14 Mile Rd, Sterling Heights, MI, 48310</t>
        </is>
      </c>
      <c r="R19" s="6" t="inlineStr">
        <is>
          <t>Jillian Monticciolo Pa C (1 spine) · Amar Kurjakovic, PA-C (4 ortho) · Mark S Rosenberg, DO (2 ortho) · David Giancola, PA (1 ortho) · Macomb Medical Clinic (1 ortho) · Brooke Tobia, PA (1 ortho)</t>
        </is>
      </c>
      <c r="S19" s="6" t="inlineStr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>
      <c r="A20" s="6" t="inlineStr">
        <is>
          <t>Premier Private Physicians</t>
        </is>
      </c>
      <c r="B20" s="6" t="inlineStr">
        <is>
          <t>fc79eac0-6f20-44c3-84a9-e20d7068fe4e</t>
        </is>
      </c>
      <c r="C20" s="6" t="inlineStr">
        <is>
          <t>PCP</t>
        </is>
      </c>
      <c r="D20" s="6" t="inlineStr">
        <is>
          <t>Tier 1</t>
        </is>
      </c>
      <c r="E20" s="6" t="inlineStr">
        <is>
          <t>One Spine Patient</t>
        </is>
      </c>
      <c r="F20" s="6" t="n">
        <v>72</v>
      </c>
      <c r="G20" s="6" t="n">
        <v>1</v>
      </c>
      <c r="H20" s="6" t="inlineStr">
        <is>
          <t>0</t>
        </is>
      </c>
      <c r="I20" s="6" t="inlineStr">
        <is>
          <t>1</t>
        </is>
      </c>
      <c r="J20" s="6" t="inlineStr">
        <is>
          <t>2026-06-09</t>
        </is>
      </c>
      <c r="K20" s="6" t="inlineStr">
        <is>
          <t>2026-07-13</t>
        </is>
      </c>
      <c r="L20" s="6" t="inlineStr">
        <is>
          <t>3</t>
        </is>
      </c>
      <c r="M20" s="6" t="inlineStr">
        <is>
          <t>6</t>
        </is>
      </c>
      <c r="N20" s="6" t="inlineStr">
        <is>
          <t>14</t>
        </is>
      </c>
      <c r="O20" s="6" t="inlineStr">
        <is>
          <t>C-D15</t>
        </is>
      </c>
      <c r="P20" s="6" t="inlineStr">
        <is>
          <t>Troy</t>
        </is>
      </c>
      <c r="Q20" s="6" t="inlineStr">
        <is>
          <t>1627 W Big Beaver Rd, Troy, Michigan, 48084</t>
        </is>
      </c>
      <c r="R20" s="6" t="inlineStr">
        <is>
          <t>Ashleigh Peoples, MD (1 spine)</t>
        </is>
      </c>
      <c r="S20" s="6" t="inlineStr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>
      <c r="A21" s="6" t="inlineStr">
        <is>
          <t>Bay Area Family Physicians</t>
        </is>
      </c>
      <c r="B21" s="6" t="inlineStr">
        <is>
          <t>1093985145</t>
        </is>
      </c>
      <c r="C21" s="6" t="inlineStr">
        <is>
          <t>PCP</t>
        </is>
      </c>
      <c r="D21" s="6" t="inlineStr">
        <is>
          <t>Tier 1</t>
        </is>
      </c>
      <c r="E21" s="6" t="inlineStr">
        <is>
          <t>One Spine Patient</t>
        </is>
      </c>
      <c r="F21" s="6" t="n">
        <v>71</v>
      </c>
      <c r="G21" s="6" t="n">
        <v>1</v>
      </c>
      <c r="H21" s="6" t="inlineStr">
        <is>
          <t>0</t>
        </is>
      </c>
      <c r="I21" s="6" t="inlineStr">
        <is>
          <t>1</t>
        </is>
      </c>
      <c r="J21" s="6" t="inlineStr">
        <is>
          <t>2026-06-17</t>
        </is>
      </c>
      <c r="K21" s="6" t="inlineStr">
        <is>
          <t>2026-05-19</t>
        </is>
      </c>
      <c r="L21" s="6" t="inlineStr">
        <is>
          <t>58</t>
        </is>
      </c>
      <c r="M21" s="6" t="inlineStr">
        <is>
          <t>29</t>
        </is>
      </c>
      <c r="N21" s="6" t="inlineStr">
        <is>
          <t>14</t>
        </is>
      </c>
      <c r="O21" s="6" t="inlineStr">
        <is>
          <t>C-D02</t>
        </is>
      </c>
      <c r="P21" s="6" t="inlineStr">
        <is>
          <t>New Baltimore</t>
        </is>
      </c>
      <c r="Q21" s="6" t="inlineStr">
        <is>
          <t>34301 23 Mile Road, New Baltimore, MI, 48047</t>
        </is>
      </c>
      <c r="R21" s="6" t="inlineStr">
        <is>
          <t>Eileen Hopman, MD (1 spine)</t>
        </is>
      </c>
      <c r="S21" s="6" t="inlineStr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>
      <c r="A22" s="6" t="inlineStr">
        <is>
          <t>North Macomb Medical Associates</t>
        </is>
      </c>
      <c r="B22" s="6" t="inlineStr">
        <is>
          <t>7250fa4c-09c2-418b-94d4-8badec5b77f7</t>
        </is>
      </c>
      <c r="C22" s="6" t="inlineStr">
        <is>
          <t>PCP</t>
        </is>
      </c>
      <c r="D22" s="6" t="inlineStr">
        <is>
          <t>Tier 1</t>
        </is>
      </c>
      <c r="E22" s="6" t="inlineStr">
        <is>
          <t>One Spine Patient</t>
        </is>
      </c>
      <c r="F22" s="6" t="n">
        <v>71</v>
      </c>
      <c r="G22" s="6" t="n">
        <v>1</v>
      </c>
      <c r="H22" s="6" t="inlineStr">
        <is>
          <t>0</t>
        </is>
      </c>
      <c r="I22" s="6" t="inlineStr">
        <is>
          <t>1</t>
        </is>
      </c>
      <c r="J22" s="6" t="inlineStr">
        <is>
          <t>2026-06-09</t>
        </is>
      </c>
      <c r="K22" s="6" t="inlineStr">
        <is>
          <t>2026-06-30</t>
        </is>
      </c>
      <c r="L22" s="6" t="inlineStr">
        <is>
          <t>16</t>
        </is>
      </c>
      <c r="M22" s="6" t="inlineStr">
        <is>
          <t>278</t>
        </is>
      </c>
      <c r="N22" s="6" t="inlineStr">
        <is>
          <t>14</t>
        </is>
      </c>
      <c r="O22" s="6" t="inlineStr">
        <is>
          <t>C-D02</t>
        </is>
      </c>
      <c r="P22" s="6" t="inlineStr">
        <is>
          <t>Richmond</t>
        </is>
      </c>
      <c r="Q22" s="6" t="inlineStr">
        <is>
          <t>66440 Gratiot Ave, Richmond, Michigan, 48050</t>
        </is>
      </c>
      <c r="R22" s="6" t="inlineStr">
        <is>
          <t>Sarah Weymouth, PA-C (1 spine)</t>
        </is>
      </c>
      <c r="S22" s="6" t="inlineStr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>
      <c r="A23" s="6" t="inlineStr">
        <is>
          <t>Madison Medical Arts</t>
        </is>
      </c>
      <c r="B23" s="6" t="inlineStr">
        <is>
          <t>1760473094</t>
        </is>
      </c>
      <c r="C23" s="6" t="inlineStr">
        <is>
          <t>PCP</t>
        </is>
      </c>
      <c r="D23" s="6" t="inlineStr">
        <is>
          <t>Tier 1</t>
        </is>
      </c>
      <c r="E23" s="6" t="inlineStr">
        <is>
          <t>One Spine Patient</t>
        </is>
      </c>
      <c r="F23" s="6" t="n">
        <v>71</v>
      </c>
      <c r="G23" s="6" t="n">
        <v>1</v>
      </c>
      <c r="H23" s="6" t="inlineStr">
        <is>
          <t>0</t>
        </is>
      </c>
      <c r="I23" s="6" t="inlineStr">
        <is>
          <t>1</t>
        </is>
      </c>
      <c r="J23" s="6" t="inlineStr">
        <is>
          <t>2026-06-18</t>
        </is>
      </c>
      <c r="K23" s="6" t="inlineStr">
        <is>
          <t>2026-06-24</t>
        </is>
      </c>
      <c r="L23" s="6" t="inlineStr">
        <is>
          <t>22</t>
        </is>
      </c>
      <c r="M23" s="6" t="inlineStr">
        <is>
          <t>57</t>
        </is>
      </c>
      <c r="N23" s="6" t="inlineStr">
        <is>
          <t>14</t>
        </is>
      </c>
      <c r="O23" s="6" t="inlineStr">
        <is>
          <t>C-D03</t>
        </is>
      </c>
      <c r="P23" s="6" t="inlineStr">
        <is>
          <t>Madison Heights</t>
        </is>
      </c>
      <c r="Q23" s="6" t="inlineStr">
        <is>
          <t>28200 John R Road, Madison Heights, MI, 48071</t>
        </is>
      </c>
      <c r="R23" s="6" t="inlineStr">
        <is>
          <t>Robert Hasbany, MD (1 spine)</t>
        </is>
      </c>
      <c r="S23" s="6" t="inlineStr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>
      <c r="A24" s="6" t="inlineStr">
        <is>
          <t>Sudha Nannapaneni MD</t>
        </is>
      </c>
      <c r="B24" s="6" t="inlineStr">
        <is>
          <t>f9518cc9-e8e8-4517-8250-4768d176ee8c</t>
        </is>
      </c>
      <c r="C24" s="6" t="inlineStr">
        <is>
          <t>PCP</t>
        </is>
      </c>
      <c r="D24" s="6" t="inlineStr">
        <is>
          <t>Tier 1</t>
        </is>
      </c>
      <c r="E24" s="6" t="inlineStr">
        <is>
          <t>One Spine Patient</t>
        </is>
      </c>
      <c r="F24" s="6" t="n">
        <v>71</v>
      </c>
      <c r="G24" s="6" t="n">
        <v>1</v>
      </c>
      <c r="H24" s="6" t="inlineStr">
        <is>
          <t>0</t>
        </is>
      </c>
      <c r="I24" s="6" t="inlineStr">
        <is>
          <t>1</t>
        </is>
      </c>
      <c r="J24" s="6" t="inlineStr">
        <is>
          <t>2026-01-20</t>
        </is>
      </c>
      <c r="K24" s="6" t="inlineStr">
        <is>
          <t>2026-06-25</t>
        </is>
      </c>
      <c r="L24" s="6" t="inlineStr">
        <is>
          <t>21</t>
        </is>
      </c>
      <c r="M24" s="6" t="inlineStr">
        <is>
          <t>76</t>
        </is>
      </c>
      <c r="N24" s="6" t="inlineStr">
        <is>
          <t>14</t>
        </is>
      </c>
      <c r="O24" s="6" t="inlineStr">
        <is>
          <t>C-D05</t>
        </is>
      </c>
      <c r="P24" s="6" t="inlineStr">
        <is>
          <t>Roseville</t>
        </is>
      </c>
      <c r="Q24" s="6" t="inlineStr">
        <is>
          <t>18285 East 10 Mile Road, Roseville, Michigan, 48066</t>
        </is>
      </c>
      <c r="R24" s="6" t="inlineStr">
        <is>
          <t>Sudha Nannapaneni, MD (1 spine)</t>
        </is>
      </c>
      <c r="S24" s="6" t="inlineStr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>
      <c r="A25" s="6" t="inlineStr">
        <is>
          <t>Office of Josephine A. Iskander MD</t>
        </is>
      </c>
      <c r="B25" s="6" t="inlineStr">
        <is>
          <t>b1e60538-ff76-457b-a530-3647907b307b</t>
        </is>
      </c>
      <c r="C25" s="6" t="inlineStr">
        <is>
          <t>PCP</t>
        </is>
      </c>
      <c r="D25" s="6" t="inlineStr">
        <is>
          <t>Tier 1</t>
        </is>
      </c>
      <c r="E25" s="6" t="inlineStr">
        <is>
          <t>One Spine Patient</t>
        </is>
      </c>
      <c r="F25" s="6" t="n">
        <v>71</v>
      </c>
      <c r="G25" s="6" t="n">
        <v>1</v>
      </c>
      <c r="H25" s="6" t="inlineStr">
        <is>
          <t>0</t>
        </is>
      </c>
      <c r="I25" s="6" t="inlineStr">
        <is>
          <t>1</t>
        </is>
      </c>
      <c r="J25" s="6" t="inlineStr">
        <is>
          <t>2026-06-25</t>
        </is>
      </c>
      <c r="K25" s="6" t="inlineStr">
        <is>
          <t>2026-07-13</t>
        </is>
      </c>
      <c r="L25" s="6" t="inlineStr">
        <is>
          <t>3</t>
        </is>
      </c>
      <c r="M25" s="6" t="inlineStr">
        <is>
          <t>57</t>
        </is>
      </c>
      <c r="N25" s="6" t="inlineStr">
        <is>
          <t>14</t>
        </is>
      </c>
      <c r="O25" s="6" t="inlineStr">
        <is>
          <t>C-D16</t>
        </is>
      </c>
      <c r="P25" s="6" t="inlineStr">
        <is>
          <t>Sterling Heights</t>
        </is>
      </c>
      <c r="Q25" s="6" t="inlineStr">
        <is>
          <t>43200 Dequindre Rd., Ste 104 Sterling Heights, MI 48314, United States, Sterling Heights, Michigan, 48314</t>
        </is>
      </c>
      <c r="R25" s="6" t="inlineStr">
        <is>
          <t>Josephine Iskander, MD (1 spine)</t>
        </is>
      </c>
      <c r="S25" s="6" t="inlineStr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>
      <c r="A26" s="6" t="inlineStr">
        <is>
          <t>Henry Ford Macomb Internal Medicine</t>
        </is>
      </c>
      <c r="B26" s="6" t="inlineStr">
        <is>
          <t>1841213436</t>
        </is>
      </c>
      <c r="C26" s="6" t="inlineStr">
        <is>
          <t>PCP</t>
        </is>
      </c>
      <c r="D26" s="6" t="inlineStr">
        <is>
          <t>Tier 1</t>
        </is>
      </c>
      <c r="E26" s="6" t="inlineStr">
        <is>
          <t>One Spine Patient</t>
        </is>
      </c>
      <c r="F26" s="6" t="n">
        <v>70</v>
      </c>
      <c r="G26" s="6" t="n">
        <v>1</v>
      </c>
      <c r="H26" s="6" t="inlineStr">
        <is>
          <t>3</t>
        </is>
      </c>
      <c r="I26" s="6" t="inlineStr">
        <is>
          <t>4</t>
        </is>
      </c>
      <c r="J26" s="6" t="inlineStr">
        <is>
          <t>2026-03-26</t>
        </is>
      </c>
      <c r="K26" s="6" t="inlineStr">
        <is>
          <t>2026-06-16</t>
        </is>
      </c>
      <c r="L26" s="6" t="inlineStr">
        <is>
          <t>30</t>
        </is>
      </c>
      <c r="M26" s="6" t="inlineStr">
        <is>
          <t>44.5</t>
        </is>
      </c>
      <c r="N26" s="6" t="inlineStr">
        <is>
          <t>14</t>
        </is>
      </c>
      <c r="O26" s="6" t="inlineStr">
        <is>
          <t>C-D01</t>
        </is>
      </c>
      <c r="P26" s="6" t="inlineStr">
        <is>
          <t>Sterling Heights</t>
        </is>
      </c>
      <c r="Q26" s="6" t="inlineStr">
        <is>
          <t>13801 15 Mile Rd, Sterling Heights, Michigan, 48312</t>
        </is>
      </c>
      <c r="R26" s="6" t="inlineStr">
        <is>
          <t>Katherine Doyle, DO (1 spine) · John C Bochenek, DO (1 ortho)</t>
        </is>
      </c>
      <c r="S26" s="6" t="inlineStr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>
      <c r="A27" s="6" t="inlineStr">
        <is>
          <t>Office of Steven Trombly MD</t>
        </is>
      </c>
      <c r="B27" s="6" t="inlineStr">
        <is>
          <t>1407867815</t>
        </is>
      </c>
      <c r="C27" s="6" t="inlineStr">
        <is>
          <t>PCP</t>
        </is>
      </c>
      <c r="D27" s="6" t="inlineStr">
        <is>
          <t>Tier 1</t>
        </is>
      </c>
      <c r="E27" s="6" t="inlineStr">
        <is>
          <t>One Spine Patient</t>
        </is>
      </c>
      <c r="F27" s="6" t="n">
        <v>70</v>
      </c>
      <c r="G27" s="6" t="n">
        <v>1</v>
      </c>
      <c r="H27" s="6" t="inlineStr">
        <is>
          <t>6</t>
        </is>
      </c>
      <c r="I27" s="6" t="inlineStr">
        <is>
          <t>7</t>
        </is>
      </c>
      <c r="J27" s="6" t="inlineStr">
        <is>
          <t>2026-06-29</t>
        </is>
      </c>
      <c r="K27" s="6" t="inlineStr">
        <is>
          <t>2026-07-09</t>
        </is>
      </c>
      <c r="L27" s="6" t="inlineStr">
        <is>
          <t>7</t>
        </is>
      </c>
      <c r="M27" s="6" t="inlineStr">
        <is>
          <t>61</t>
        </is>
      </c>
      <c r="N27" s="6" t="inlineStr">
        <is>
          <t>14</t>
        </is>
      </c>
      <c r="O27" s="6" t="inlineStr">
        <is>
          <t>C-D01</t>
        </is>
      </c>
      <c r="P27" s="6" t="inlineStr">
        <is>
          <t>Sterling Heights</t>
        </is>
      </c>
      <c r="Q27" s="6" t="inlineStr">
        <is>
          <t>5195 15 Mile Rd, Sterling Heights, Michigan, 48310</t>
        </is>
      </c>
      <c r="R27" s="6" t="inlineStr">
        <is>
          <t>Steven D Trombly, MD (1 spine)</t>
        </is>
      </c>
      <c r="S27" s="6" t="inlineStr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6" t="inlineStr">
        <is>
          <t>Epic Primary Care - Ferndale</t>
        </is>
      </c>
      <c r="B28" s="6" t="inlineStr">
        <is>
          <t>8d70ed21-9cc0-4e04-a934-e01ab1155823</t>
        </is>
      </c>
      <c r="C28" s="6" t="inlineStr">
        <is>
          <t>PCP</t>
        </is>
      </c>
      <c r="D28" s="6" t="inlineStr">
        <is>
          <t>Tier 1</t>
        </is>
      </c>
      <c r="E28" s="6" t="inlineStr">
        <is>
          <t>One Spine Patient</t>
        </is>
      </c>
      <c r="F28" s="6" t="n">
        <v>70</v>
      </c>
      <c r="G28" s="6" t="n">
        <v>1</v>
      </c>
      <c r="H28" s="6" t="inlineStr">
        <is>
          <t>3</t>
        </is>
      </c>
      <c r="I28" s="6" t="inlineStr">
        <is>
          <t>4</t>
        </is>
      </c>
      <c r="J28" s="6" t="inlineStr">
        <is>
          <t>2026-05-05</t>
        </is>
      </c>
      <c r="K28" s="6" t="inlineStr">
        <is>
          <t>2026-05-21</t>
        </is>
      </c>
      <c r="L28" s="6" t="inlineStr">
        <is>
          <t>56</t>
        </is>
      </c>
      <c r="M28" s="6" t="inlineStr">
        <is>
          <t>50</t>
        </is>
      </c>
      <c r="N28" s="6" t="inlineStr">
        <is>
          <t>14</t>
        </is>
      </c>
      <c r="O28" s="6" t="inlineStr">
        <is>
          <t>C-D03</t>
        </is>
      </c>
      <c r="P28" s="6" t="inlineStr">
        <is>
          <t>Ferndale</t>
        </is>
      </c>
      <c r="Q28" s="6" t="inlineStr">
        <is>
          <t>911 E 9 Mile Rd, Ferndale, Michigan, 48220</t>
        </is>
      </c>
      <c r="R28" s="6" t="inlineStr">
        <is>
          <t>Greg S Naman, MD (1 spine) · Susan Tam, DO (1 ortho)</t>
        </is>
      </c>
      <c r="S28" s="6" t="inlineStr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>
      <c r="A29" s="6" t="inlineStr">
        <is>
          <t>Barry S Meyer DO PC</t>
        </is>
      </c>
      <c r="B29" s="6" t="inlineStr">
        <is>
          <t>a183eb7c-8d61-4470-8154-52f7dbff87b5</t>
        </is>
      </c>
      <c r="C29" s="6" t="inlineStr">
        <is>
          <t>PCP</t>
        </is>
      </c>
      <c r="D29" s="6" t="inlineStr">
        <is>
          <t>Tier 1</t>
        </is>
      </c>
      <c r="E29" s="6" t="inlineStr">
        <is>
          <t>One Spine Patient</t>
        </is>
      </c>
      <c r="F29" s="6" t="n">
        <v>70</v>
      </c>
      <c r="G29" s="6" t="n">
        <v>1</v>
      </c>
      <c r="H29" s="6" t="inlineStr">
        <is>
          <t>0</t>
        </is>
      </c>
      <c r="I29" s="6" t="inlineStr">
        <is>
          <t>1</t>
        </is>
      </c>
      <c r="J29" s="6" t="inlineStr">
        <is>
          <t>2026-05-27</t>
        </is>
      </c>
      <c r="K29" s="6" t="inlineStr">
        <is>
          <t>2026-06-01</t>
        </is>
      </c>
      <c r="L29" s="6" t="inlineStr">
        <is>
          <t>45</t>
        </is>
      </c>
      <c r="M29" s="6" t="inlineStr">
        <is>
          <t>26</t>
        </is>
      </c>
      <c r="N29" s="6" t="inlineStr">
        <is>
          <t>14</t>
        </is>
      </c>
      <c r="O29" s="6" t="inlineStr">
        <is>
          <t>C-D03</t>
        </is>
      </c>
      <c r="P29" s="6" t="inlineStr">
        <is>
          <t>Warren</t>
        </is>
      </c>
      <c r="Q29" s="6" t="inlineStr">
        <is>
          <t>23411 Ryan Rd, Warren, MI, 48091</t>
        </is>
      </c>
      <c r="R29" s="6" t="inlineStr">
        <is>
          <t>Barry S Meyer, DO (1 spine)</t>
        </is>
      </c>
      <c r="S29" s="6" t="inlineStr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>
      <c r="A30" s="6" t="inlineStr">
        <is>
          <t>EPIC Southfield - Telegraph Rd office</t>
        </is>
      </c>
      <c r="B30" s="6" t="inlineStr">
        <is>
          <t>e9338159-c4f0-4329-a188-50fd3d8a5ddb</t>
        </is>
      </c>
      <c r="C30" s="6" t="inlineStr">
        <is>
          <t>PCP</t>
        </is>
      </c>
      <c r="D30" s="6" t="inlineStr">
        <is>
          <t>Tier 1</t>
        </is>
      </c>
      <c r="E30" s="6" t="inlineStr">
        <is>
          <t>One Spine Patient</t>
        </is>
      </c>
      <c r="F30" s="6" t="n">
        <v>70</v>
      </c>
      <c r="G30" s="6" t="n">
        <v>1</v>
      </c>
      <c r="H30" s="6" t="inlineStr">
        <is>
          <t>3</t>
        </is>
      </c>
      <c r="I30" s="6" t="inlineStr">
        <is>
          <t>4</t>
        </is>
      </c>
      <c r="J30" s="6" t="inlineStr">
        <is>
          <t>2026-07-09</t>
        </is>
      </c>
      <c r="K30" s="6" t="inlineStr">
        <is>
          <t>2026-05-28</t>
        </is>
      </c>
      <c r="L30" s="6" t="inlineStr">
        <is>
          <t>49</t>
        </is>
      </c>
      <c r="M30" s="6" t="inlineStr">
        <is>
          <t>46.5</t>
        </is>
      </c>
      <c r="N30" s="6" t="inlineStr">
        <is>
          <t>14</t>
        </is>
      </c>
      <c r="O30" s="6" t="inlineStr">
        <is>
          <t>C-D17</t>
        </is>
      </c>
      <c r="P30" s="6" t="inlineStr">
        <is>
          <t>Southfield</t>
        </is>
      </c>
      <c r="Q30" s="6" t="inlineStr">
        <is>
          <t>29829 Telegraph Rd suite 200, Southfield, Michigan, 48034</t>
        </is>
      </c>
      <c r="R30" s="6" t="inlineStr">
        <is>
          <t>Shannon Webster, PAC (1 spine)</t>
        </is>
      </c>
      <c r="S30" s="6" t="inlineStr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>
      <c r="A31" s="6" t="inlineStr">
        <is>
          <t>Rochester Medical Group</t>
        </is>
      </c>
      <c r="B31" s="6" t="inlineStr">
        <is>
          <t>c82c9d5d-f644-42a6-8149-43868624eb50</t>
        </is>
      </c>
      <c r="C31" s="6" t="inlineStr">
        <is>
          <t>PCP</t>
        </is>
      </c>
      <c r="D31" s="6" t="inlineStr">
        <is>
          <t>Tier 1</t>
        </is>
      </c>
      <c r="E31" s="6" t="inlineStr">
        <is>
          <t>One Spine Patient</t>
        </is>
      </c>
      <c r="F31" s="6" t="n">
        <v>70</v>
      </c>
      <c r="G31" s="6" t="n">
        <v>1</v>
      </c>
      <c r="H31" s="6" t="inlineStr">
        <is>
          <t>0</t>
        </is>
      </c>
      <c r="I31" s="6" t="inlineStr">
        <is>
          <t>1</t>
        </is>
      </c>
      <c r="J31" s="6" t="inlineStr">
        <is>
          <t>2026-04-30</t>
        </is>
      </c>
      <c r="K31" s="6" t="inlineStr">
        <is>
          <t>2026-06-15</t>
        </is>
      </c>
      <c r="L31" s="6" t="inlineStr">
        <is>
          <t>31</t>
        </is>
      </c>
      <c r="M31" s="6" t="inlineStr">
        <is>
          <t>38</t>
        </is>
      </c>
      <c r="N31" s="6" t="inlineStr">
        <is>
          <t>14</t>
        </is>
      </c>
      <c r="O31" s="6" t="inlineStr">
        <is>
          <t>C-D18</t>
        </is>
      </c>
      <c r="P31" s="6" t="inlineStr">
        <is>
          <t>Rochester Hills</t>
        </is>
      </c>
      <c r="Q31" s="6" t="inlineStr">
        <is>
          <t>633 E South Blvd #1200, Rochester Hills, Michigan, 48307</t>
        </is>
      </c>
      <c r="R31" s="6" t="inlineStr">
        <is>
          <t>Jason Hawkins, DO (1 spine)</t>
        </is>
      </c>
      <c r="S31" s="6" t="inlineStr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>
      <c r="A32" s="6" t="inlineStr">
        <is>
          <t>Specialists in Rehabilitation Medicine</t>
        </is>
      </c>
      <c r="B32" s="6" t="inlineStr">
        <is>
          <t>8c808cf3-9148-4a0b-8ea0-2d0882a9424e</t>
        </is>
      </c>
      <c r="C32" s="6" t="inlineStr">
        <is>
          <t>Orthopedic</t>
        </is>
      </c>
      <c r="D32" s="6" t="inlineStr">
        <is>
          <t>Tier 1</t>
        </is>
      </c>
      <c r="E32" s="6" t="inlineStr">
        <is>
          <t>One Spine Patient</t>
        </is>
      </c>
      <c r="F32" s="6" t="n">
        <v>70</v>
      </c>
      <c r="G32" s="6" t="n">
        <v>1</v>
      </c>
      <c r="H32" s="6" t="inlineStr">
        <is>
          <t>0</t>
        </is>
      </c>
      <c r="I32" s="6" t="inlineStr">
        <is>
          <t>1</t>
        </is>
      </c>
      <c r="J32" s="6" t="inlineStr">
        <is>
          <t>2026-04-07</t>
        </is>
      </c>
      <c r="K32" s="6" t="inlineStr">
        <is>
          <t>2025-07-17</t>
        </is>
      </c>
      <c r="L32" s="6" t="inlineStr">
        <is>
          <t>364</t>
        </is>
      </c>
      <c r="M32" s="6" t="inlineStr">
        <is>
          <t>264</t>
        </is>
      </c>
      <c r="N32" s="6" t="inlineStr">
        <is>
          <t>14</t>
        </is>
      </c>
      <c r="O32" s="6" t="inlineStr">
        <is>
          <t>C-D19</t>
        </is>
      </c>
      <c r="P32" s="6" t="inlineStr">
        <is>
          <t>Rochester</t>
        </is>
      </c>
      <c r="Q32" s="6" t="inlineStr">
        <is>
          <t>1135 W University Dr suite 425, Rochester, Michigan, 48307</t>
        </is>
      </c>
      <c r="R32" s="6" t="inlineStr">
        <is>
          <t>Steven Arbit, MD (1 spine)</t>
        </is>
      </c>
      <c r="S32" s="6" t="inlineStr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>
      <c r="A33" s="6" t="inlineStr">
        <is>
          <t>Oak Street Health - Eastgate</t>
        </is>
      </c>
      <c r="B33" s="6" t="inlineStr">
        <is>
          <t>23fb6135-419b-4880-ae64-4a97e9244f37</t>
        </is>
      </c>
      <c r="C33" s="6" t="inlineStr">
        <is>
          <t>PCP</t>
        </is>
      </c>
      <c r="D33" s="6" t="inlineStr">
        <is>
          <t>Tier 1</t>
        </is>
      </c>
      <c r="E33" s="6" t="inlineStr">
        <is>
          <t>One Spine Patient</t>
        </is>
      </c>
      <c r="F33" s="6" t="n">
        <v>69</v>
      </c>
      <c r="G33" s="6" t="n">
        <v>1</v>
      </c>
      <c r="H33" s="6" t="inlineStr">
        <is>
          <t>1</t>
        </is>
      </c>
      <c r="I33" s="6" t="inlineStr">
        <is>
          <t>2</t>
        </is>
      </c>
      <c r="J33" s="6" t="inlineStr">
        <is>
          <t>2026-05-22</t>
        </is>
      </c>
      <c r="K33" s="6" t="inlineStr">
        <is>
          <t>2026-02-26</t>
        </is>
      </c>
      <c r="L33" s="6" t="inlineStr">
        <is>
          <t>140</t>
        </is>
      </c>
      <c r="M33" s="6" t="inlineStr">
        <is>
          <t>76</t>
        </is>
      </c>
      <c r="N33" s="6" t="inlineStr">
        <is>
          <t>14</t>
        </is>
      </c>
      <c r="O33" s="6" t="inlineStr">
        <is>
          <t>C-D11</t>
        </is>
      </c>
      <c r="P33" s="6" t="inlineStr">
        <is>
          <t>Roseville</t>
        </is>
      </c>
      <c r="Q33" s="6" t="inlineStr">
        <is>
          <t>26390 Gratiot Ave, Roseville, Michigan, 48066</t>
        </is>
      </c>
      <c r="R33" s="6" t="inlineStr">
        <is>
          <t>Kristina Suede, NP (1 spine)</t>
        </is>
      </c>
      <c r="S33" s="6" t="inlineStr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>
      <c r="A34" s="6" t="inlineStr">
        <is>
          <t>Epic Healthcare - Southfield</t>
        </is>
      </c>
      <c r="B34" s="6" t="inlineStr">
        <is>
          <t>a6831f2e-4f19-4f2d-bdb5-d732d5c81ce7</t>
        </is>
      </c>
      <c r="C34" s="6" t="inlineStr">
        <is>
          <t>PCP</t>
        </is>
      </c>
      <c r="D34" s="6" t="inlineStr">
        <is>
          <t>Tier 1</t>
        </is>
      </c>
      <c r="E34" s="6" t="inlineStr">
        <is>
          <t>One Spine Patient</t>
        </is>
      </c>
      <c r="F34" s="6" t="n">
        <v>69</v>
      </c>
      <c r="G34" s="6" t="n">
        <v>1</v>
      </c>
      <c r="H34" s="6" t="inlineStr">
        <is>
          <t>0</t>
        </is>
      </c>
      <c r="I34" s="6" t="inlineStr">
        <is>
          <t>1</t>
        </is>
      </c>
      <c r="J34" s="6" t="inlineStr">
        <is>
          <t>2026-01-21</t>
        </is>
      </c>
      <c r="K34" s="6" t="inlineStr">
        <is>
          <t>2026-03-05</t>
        </is>
      </c>
      <c r="L34" s="6" t="inlineStr">
        <is>
          <t>133</t>
        </is>
      </c>
      <c r="M34" s="6" t="inlineStr">
        <is>
          <t>29</t>
        </is>
      </c>
      <c r="N34" s="6" t="inlineStr">
        <is>
          <t>14</t>
        </is>
      </c>
      <c r="O34" s="6" t="inlineStr">
        <is>
          <t>C-D17</t>
        </is>
      </c>
      <c r="P34" s="6" t="inlineStr">
        <is>
          <t>SOUTHFIELD</t>
        </is>
      </c>
      <c r="Q34" s="6" t="inlineStr">
        <is>
          <t>18591 W 10 Mile Rd, SOUTHFIELD, Michigan, 48075</t>
        </is>
      </c>
      <c r="R34" s="6" t="inlineStr">
        <is>
          <t>Amber S Kalabat Fnp-bc (1 spine)</t>
        </is>
      </c>
      <c r="S34" s="6" t="inlineStr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>
      <c r="A35" s="6" t="inlineStr">
        <is>
          <t>Cornerstone Internal Medicine</t>
        </is>
      </c>
      <c r="B35" s="6" t="inlineStr">
        <is>
          <t>1124006333</t>
        </is>
      </c>
      <c r="C35" s="6" t="inlineStr">
        <is>
          <t>PCP</t>
        </is>
      </c>
      <c r="D35" s="6" t="inlineStr">
        <is>
          <t>Tier 1</t>
        </is>
      </c>
      <c r="E35" s="6" t="inlineStr">
        <is>
          <t>One Spine Patient</t>
        </is>
      </c>
      <c r="F35" s="6" t="n">
        <v>69</v>
      </c>
      <c r="G35" s="6" t="n">
        <v>1</v>
      </c>
      <c r="H35" s="6" t="inlineStr">
        <is>
          <t>1</t>
        </is>
      </c>
      <c r="I35" s="6" t="inlineStr">
        <is>
          <t>2</t>
        </is>
      </c>
      <c r="J35" s="6" t="inlineStr">
        <is>
          <t>2026-04-10</t>
        </is>
      </c>
      <c r="K35" s="6" t="inlineStr">
        <is>
          <t>2025-09-11</t>
        </is>
      </c>
      <c r="L35" s="6" t="inlineStr">
        <is>
          <t>308</t>
        </is>
      </c>
      <c r="M35" s="6" t="inlineStr">
        <is>
          <t>199.5</t>
        </is>
      </c>
      <c r="N35" s="6" t="inlineStr">
        <is>
          <t>14</t>
        </is>
      </c>
      <c r="O35" s="6" t="inlineStr">
        <is>
          <t>C-D20</t>
        </is>
      </c>
      <c r="P35" s="6" t="inlineStr">
        <is>
          <t>Macomb</t>
        </is>
      </c>
      <c r="Q35" s="6" t="inlineStr">
        <is>
          <t>46591 Romeo Plank Road, Macomb, Michigan, 48044</t>
        </is>
      </c>
      <c r="R35" s="6" t="inlineStr">
        <is>
          <t>Massimiliano Vitale, MD (1 spine) · Ferah Adil Dalaly, MD (1 ortho)</t>
        </is>
      </c>
      <c r="S35" s="6" t="inlineStr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>
      <c r="A36" s="6" t="inlineStr">
        <is>
          <t>McLaren Oakland Center for Spine &amp; Pain Management</t>
        </is>
      </c>
      <c r="B36" s="6" t="inlineStr">
        <is>
          <t>be1474d8-c6ce-4792-bc96-a22bf4ce125d</t>
        </is>
      </c>
      <c r="C36" s="6" t="inlineStr">
        <is>
          <t>Pain</t>
        </is>
      </c>
      <c r="D36" s="6" t="inlineStr">
        <is>
          <t>Tier 1</t>
        </is>
      </c>
      <c r="E36" s="6" t="inlineStr">
        <is>
          <t>One Spine Patient</t>
        </is>
      </c>
      <c r="F36" s="6" t="n">
        <v>69</v>
      </c>
      <c r="G36" s="6" t="n">
        <v>1</v>
      </c>
      <c r="H36" s="6" t="inlineStr">
        <is>
          <t>0</t>
        </is>
      </c>
      <c r="I36" s="6" t="inlineStr">
        <is>
          <t>2</t>
        </is>
      </c>
      <c r="J36" s="6" t="inlineStr">
        <is>
          <t>2026-06-09</t>
        </is>
      </c>
      <c r="K36" s="6" t="inlineStr">
        <is>
          <t>2026-03-02</t>
        </is>
      </c>
      <c r="L36" s="6" t="inlineStr">
        <is>
          <t>136</t>
        </is>
      </c>
      <c r="M36" s="6" t="inlineStr">
        <is>
          <t>51</t>
        </is>
      </c>
      <c r="N36" s="6" t="inlineStr">
        <is>
          <t>14</t>
        </is>
      </c>
      <c r="O36" s="6" t="inlineStr">
        <is>
          <t>C-D21</t>
        </is>
      </c>
      <c r="P36" s="6" t="inlineStr">
        <is>
          <t>City of the Village of Clarkston</t>
        </is>
      </c>
      <c r="Q36" s="6" t="inlineStr">
        <is>
          <t>5625 Water Tower Place ste 220, City of the Village of Clarkston, Michigan, 48346</t>
        </is>
      </c>
      <c r="R36" s="6" t="inlineStr">
        <is>
          <t>Ashraf Khan, DO (1 spine)</t>
        </is>
      </c>
      <c r="S36" s="6" t="inlineStr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>
      <c r="A37" s="6" t="inlineStr">
        <is>
          <t>Gratiot Family Medicine</t>
        </is>
      </c>
      <c r="B37" s="6" t="inlineStr">
        <is>
          <t>f7eb2b6e-6864-4576-879b-81a2bb775cb1</t>
        </is>
      </c>
      <c r="C37" s="6" t="inlineStr">
        <is>
          <t>PCP</t>
        </is>
      </c>
      <c r="D37" s="6" t="inlineStr">
        <is>
          <t>Tier 1</t>
        </is>
      </c>
      <c r="E37" s="6" t="inlineStr">
        <is>
          <t>One Spine Patient</t>
        </is>
      </c>
      <c r="F37" s="6" t="n">
        <v>68</v>
      </c>
      <c r="G37" s="6" t="n">
        <v>1</v>
      </c>
      <c r="H37" s="6" t="inlineStr">
        <is>
          <t>0</t>
        </is>
      </c>
      <c r="I37" s="6" t="inlineStr">
        <is>
          <t>1</t>
        </is>
      </c>
      <c r="J37" s="6" t="inlineStr">
        <is>
          <t>2026-06-25</t>
        </is>
      </c>
      <c r="K37" s="6" t="inlineStr">
        <is>
          <t>2026-03-19</t>
        </is>
      </c>
      <c r="L37" s="6" t="inlineStr">
        <is>
          <t>119</t>
        </is>
      </c>
      <c r="M37" s="6" t="inlineStr">
        <is>
          <t>98</t>
        </is>
      </c>
      <c r="N37" s="6" t="inlineStr">
        <is>
          <t>14</t>
        </is>
      </c>
      <c r="O37" s="6" t="inlineStr">
        <is>
          <t>C-D06</t>
        </is>
      </c>
      <c r="P37" s="6" t="inlineStr">
        <is>
          <t>Harper Woods</t>
        </is>
      </c>
      <c r="Q37" s="6" t="inlineStr">
        <is>
          <t>19959 Vernier Rd, Suite 200, Harper Woods, MI, 48225</t>
        </is>
      </c>
      <c r="R37" s="6" t="inlineStr">
        <is>
          <t>Darwish Darwish (1 spine)</t>
        </is>
      </c>
      <c r="S37" s="6" t="inlineStr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>
      <c r="A38" s="6" t="inlineStr">
        <is>
          <t>Premiere Pediatrics</t>
        </is>
      </c>
      <c r="B38" s="6" t="inlineStr">
        <is>
          <t>a8abc02a-95b9-4318-b876-60471f8fff0e</t>
        </is>
      </c>
      <c r="C38" s="6" t="inlineStr">
        <is>
          <t>Pediatrics</t>
        </is>
      </c>
      <c r="D38" s="6" t="inlineStr">
        <is>
          <t>Tier 1</t>
        </is>
      </c>
      <c r="E38" s="6" t="inlineStr">
        <is>
          <t>One Spine Patient</t>
        </is>
      </c>
      <c r="F38" s="6" t="n">
        <v>68</v>
      </c>
      <c r="G38" s="6" t="n">
        <v>1</v>
      </c>
      <c r="H38" s="6" t="inlineStr">
        <is>
          <t>0</t>
        </is>
      </c>
      <c r="I38" s="6" t="inlineStr">
        <is>
          <t>1</t>
        </is>
      </c>
      <c r="J38" s="6" t="inlineStr">
        <is>
          <t>2026-06-16</t>
        </is>
      </c>
      <c r="K38" s="6" t="inlineStr">
        <is>
          <t>2024-11-07</t>
        </is>
      </c>
      <c r="L38" s="6" t="inlineStr">
        <is>
          <t>616</t>
        </is>
      </c>
      <c r="M38" s="6" t="inlineStr">
        <is>
          <t>586</t>
        </is>
      </c>
      <c r="N38" s="6" t="inlineStr">
        <is>
          <t>14</t>
        </is>
      </c>
      <c r="O38" s="6" t="inlineStr">
        <is>
          <t>C-D22</t>
        </is>
      </c>
      <c r="P38" s="6" t="inlineStr">
        <is>
          <t>City of the Village of Clarkston</t>
        </is>
      </c>
      <c r="Q38" s="6" t="inlineStr">
        <is>
          <t>7210 N Main St suite 205, City of the Village of Clarkston, Michigan</t>
        </is>
      </c>
      <c r="R38" s="6" t="inlineStr">
        <is>
          <t>Mark William Thomas, MD (1 spine)</t>
        </is>
      </c>
      <c r="S38" s="6" t="inlineStr">
        <is>
          <t>Pediatric (Jul 20 rule) → KEEP - producing; verify relationship</t>
        </is>
      </c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>
      <c r="A39" s="6" t="inlineStr">
        <is>
          <t>Shaun Jayakar MD</t>
        </is>
      </c>
      <c r="B39" s="6" t="inlineStr">
        <is>
          <t>f56a8949-cb8d-4abd-8405-0a939eec72d2</t>
        </is>
      </c>
      <c r="C39" s="6" t="inlineStr">
        <is>
          <t>PCP</t>
        </is>
      </c>
      <c r="D39" s="6" t="inlineStr">
        <is>
          <t>Tier 2</t>
        </is>
      </c>
      <c r="E39" s="6" t="inlineStr">
        <is>
          <t>Ortho Referrer</t>
        </is>
      </c>
      <c r="F39" s="6" t="n">
        <v>59</v>
      </c>
      <c r="G39" s="6" t="n">
        <v>0</v>
      </c>
      <c r="H39" s="6" t="inlineStr">
        <is>
          <t>6</t>
        </is>
      </c>
      <c r="I39" s="6" t="inlineStr">
        <is>
          <t>6</t>
        </is>
      </c>
      <c r="J39" s="6" t="inlineStr">
        <is>
          <t>2026-07-08</t>
        </is>
      </c>
      <c r="K39" s="6" t="inlineStr">
        <is>
          <t>2026-07-09</t>
        </is>
      </c>
      <c r="L39" s="6" t="inlineStr">
        <is>
          <t>7</t>
        </is>
      </c>
      <c r="M39" s="6" t="inlineStr">
        <is>
          <t>20.5</t>
        </is>
      </c>
      <c r="N39" s="6" t="inlineStr">
        <is>
          <t>21</t>
        </is>
      </c>
      <c r="O39" s="6" t="inlineStr">
        <is>
          <t>C-D06</t>
        </is>
      </c>
      <c r="P39" s="6" t="inlineStr">
        <is>
          <t>St Clair Shores</t>
        </is>
      </c>
      <c r="Q39" s="6" t="inlineStr">
        <is>
          <t>21610 9 Mile Rd, St Clair Shores, MI, 48080</t>
        </is>
      </c>
      <c r="R39" s="6" t="inlineStr">
        <is>
          <t>Shaun M Jayakar, MD (5 ortho) · Shaun Jayakar, MD (1 ortho)</t>
        </is>
      </c>
      <c r="S39" s="6" t="inlineStr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>
      <c r="A40" s="6" t="inlineStr">
        <is>
          <t>Henry Ford Health Medical Center (Ascension)</t>
        </is>
      </c>
      <c r="B40" s="6" t="inlineStr">
        <is>
          <t>3a5cf92c-ae21-4227-96ec-08c2968a5939</t>
        </is>
      </c>
      <c r="C40" s="6" t="inlineStr">
        <is>
          <t>PCP</t>
        </is>
      </c>
      <c r="D40" s="6" t="inlineStr">
        <is>
          <t>Tier 2</t>
        </is>
      </c>
      <c r="E40" s="6" t="inlineStr">
        <is>
          <t>Ortho Referrer</t>
        </is>
      </c>
      <c r="F40" s="6" t="n">
        <v>53</v>
      </c>
      <c r="G40" s="6" t="n">
        <v>0</v>
      </c>
      <c r="H40" s="6" t="inlineStr">
        <is>
          <t>3</t>
        </is>
      </c>
      <c r="I40" s="6" t="inlineStr">
        <is>
          <t>3</t>
        </is>
      </c>
      <c r="J40" s="6" t="inlineStr">
        <is>
          <t>2026-06-29</t>
        </is>
      </c>
      <c r="K40" s="6" t="inlineStr">
        <is>
          <t>2026-06-18</t>
        </is>
      </c>
      <c r="L40" s="6" t="inlineStr">
        <is>
          <t>28</t>
        </is>
      </c>
      <c r="M40" s="6" t="inlineStr">
        <is>
          <t>11</t>
        </is>
      </c>
      <c r="N40" s="6" t="inlineStr">
        <is>
          <t>21</t>
        </is>
      </c>
      <c r="O40" s="6" t="inlineStr">
        <is>
          <t>C-D05</t>
        </is>
      </c>
      <c r="P40" s="6" t="inlineStr">
        <is>
          <t>St. Clair Shores</t>
        </is>
      </c>
      <c r="Q40" s="6" t="inlineStr">
        <is>
          <t>24911 Little Mack Ave Ste C, St. Clair Shores, Michigan, 48080</t>
        </is>
      </c>
      <c r="R40" s="6" t="inlineStr">
        <is>
          <t>Mary E Murphy, MD (2 ortho) · Anna Farhat, MD (1 ortho)</t>
        </is>
      </c>
      <c r="S40" s="6" t="inlineStr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s="6" t="inlineStr">
        <is>
          <t>Lakeside Internal Medicine</t>
        </is>
      </c>
      <c r="B41" s="6" t="inlineStr">
        <is>
          <t>1c5c4e69-60f0-4d66-a3ee-9a33e818a99b</t>
        </is>
      </c>
      <c r="C41" s="6" t="inlineStr">
        <is>
          <t>PCP</t>
        </is>
      </c>
      <c r="D41" s="6" t="inlineStr">
        <is>
          <t>Tier 2</t>
        </is>
      </c>
      <c r="E41" s="6" t="inlineStr">
        <is>
          <t>Ortho Referrer</t>
        </is>
      </c>
      <c r="F41" s="6" t="n">
        <v>53</v>
      </c>
      <c r="G41" s="6" t="n">
        <v>0</v>
      </c>
      <c r="H41" s="6" t="inlineStr">
        <is>
          <t>3</t>
        </is>
      </c>
      <c r="I41" s="6" t="inlineStr">
        <is>
          <t>3</t>
        </is>
      </c>
      <c r="J41" s="6" t="inlineStr">
        <is>
          <t>2026-03-10</t>
        </is>
      </c>
      <c r="K41" s="6" t="inlineStr">
        <is>
          <t>2026-07-09</t>
        </is>
      </c>
      <c r="L41" s="6" t="inlineStr">
        <is>
          <t>7</t>
        </is>
      </c>
      <c r="M41" s="6" t="inlineStr">
        <is>
          <t>22</t>
        </is>
      </c>
      <c r="N41" s="6" t="inlineStr">
        <is>
          <t>21</t>
        </is>
      </c>
      <c r="O41" s="6" t="inlineStr">
        <is>
          <t>C-D11</t>
        </is>
      </c>
      <c r="P41" s="6" t="inlineStr">
        <is>
          <t>St Clair Shores</t>
        </is>
      </c>
      <c r="Q41" s="6" t="inlineStr">
        <is>
          <t>21000 Twelve Mile Rd Suite 105, St Clair Shores, Michigan, 48081</t>
        </is>
      </c>
      <c r="R41" s="6" t="inlineStr">
        <is>
          <t>Charles Skardarasy, MD (3 ortho)</t>
        </is>
      </c>
      <c r="S41" s="6" t="inlineStr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>
      <c r="A42" s="6" t="inlineStr">
        <is>
          <t>Progressive Health Care</t>
        </is>
      </c>
      <c r="B42" s="6" t="inlineStr">
        <is>
          <t>1790797207</t>
        </is>
      </c>
      <c r="C42" s="6" t="inlineStr">
        <is>
          <t>PCP</t>
        </is>
      </c>
      <c r="D42" s="6" t="inlineStr">
        <is>
          <t>Tier 2</t>
        </is>
      </c>
      <c r="E42" s="6" t="inlineStr">
        <is>
          <t>Ortho Referrer</t>
        </is>
      </c>
      <c r="F42" s="6" t="n">
        <v>52</v>
      </c>
      <c r="G42" s="6" t="n">
        <v>0</v>
      </c>
      <c r="H42" s="6" t="inlineStr">
        <is>
          <t>2</t>
        </is>
      </c>
      <c r="I42" s="6" t="inlineStr">
        <is>
          <t>2</t>
        </is>
      </c>
      <c r="J42" s="6" t="inlineStr">
        <is>
          <t>2026-05-14</t>
        </is>
      </c>
      <c r="K42" s="6" t="inlineStr">
        <is>
          <t>2026-06-17</t>
        </is>
      </c>
      <c r="L42" s="6" t="inlineStr">
        <is>
          <t>29</t>
        </is>
      </c>
      <c r="M42" s="6" t="inlineStr">
        <is>
          <t>16.5</t>
        </is>
      </c>
      <c r="N42" s="6" t="inlineStr">
        <is>
          <t>21</t>
        </is>
      </c>
      <c r="O42" s="6" t="inlineStr">
        <is>
          <t>C-D04</t>
        </is>
      </c>
      <c r="P42" s="6" t="inlineStr">
        <is>
          <t>Berkley</t>
        </is>
      </c>
      <c r="Q42" s="6" t="inlineStr">
        <is>
          <t>2635 Coolidge Hwy, Berkley, MI, 48072</t>
        </is>
      </c>
      <c r="R42" s="6" t="inlineStr">
        <is>
          <t>Michael Haroutunian, DO (2 ortho)</t>
        </is>
      </c>
      <c r="S42" s="6" t="inlineStr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>
      <c r="A43" s="6" t="inlineStr">
        <is>
          <t>ESSENTIAL CARE FAMILY MEDICINE</t>
        </is>
      </c>
      <c r="B43" s="6" t="inlineStr">
        <is>
          <t>131adcde-9fdc-45db-af94-831482a14212</t>
        </is>
      </c>
      <c r="C43" s="6" t="inlineStr">
        <is>
          <t>PCP</t>
        </is>
      </c>
      <c r="D43" s="6" t="inlineStr">
        <is>
          <t>Tier 2</t>
        </is>
      </c>
      <c r="E43" s="6" t="inlineStr">
        <is>
          <t>Ortho Referrer</t>
        </is>
      </c>
      <c r="F43" s="6" t="n">
        <v>51</v>
      </c>
      <c r="G43" s="6" t="n">
        <v>0</v>
      </c>
      <c r="H43" s="6" t="inlineStr">
        <is>
          <t>3</t>
        </is>
      </c>
      <c r="I43" s="6" t="inlineStr">
        <is>
          <t>3</t>
        </is>
      </c>
      <c r="J43" s="6" t="inlineStr">
        <is>
          <t>2026-07-08</t>
        </is>
      </c>
      <c r="K43" s="6" t="inlineStr">
        <is>
          <t>2026-06-25</t>
        </is>
      </c>
      <c r="L43" s="6" t="inlineStr">
        <is>
          <t>21</t>
        </is>
      </c>
      <c r="M43" s="6" t="inlineStr">
        <is>
          <t>88</t>
        </is>
      </c>
      <c r="N43" s="6" t="inlineStr">
        <is>
          <t>21</t>
        </is>
      </c>
      <c r="O43" s="6" t="inlineStr">
        <is>
          <t>C-D05</t>
        </is>
      </c>
      <c r="P43" s="6" t="inlineStr">
        <is>
          <t>SAINT CLAIR SHORES</t>
        </is>
      </c>
      <c r="Q43" s="6" t="inlineStr">
        <is>
          <t>21603 E 11 MILE RD, SAINT CLAIR SHORES, Michigan</t>
        </is>
      </c>
      <c r="R43" s="6" t="inlineStr">
        <is>
          <t>Marcus Koss (3 ortho)</t>
        </is>
      </c>
      <c r="S43" s="6" t="inlineStr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>
      <c r="A44" s="6" t="inlineStr">
        <is>
          <t>Levan Internists</t>
        </is>
      </c>
      <c r="B44" s="6" t="inlineStr">
        <is>
          <t>1972528818</t>
        </is>
      </c>
      <c r="C44" s="6" t="inlineStr">
        <is>
          <t>PCP</t>
        </is>
      </c>
      <c r="D44" s="6" t="inlineStr">
        <is>
          <t>Tier 2</t>
        </is>
      </c>
      <c r="E44" s="6" t="inlineStr">
        <is>
          <t>Ortho Referrer</t>
        </is>
      </c>
      <c r="F44" s="6" t="n">
        <v>50</v>
      </c>
      <c r="G44" s="6" t="n">
        <v>0</v>
      </c>
      <c r="H44" s="6" t="inlineStr">
        <is>
          <t>2</t>
        </is>
      </c>
      <c r="I44" s="6" t="inlineStr">
        <is>
          <t>2</t>
        </is>
      </c>
      <c r="J44" s="6" t="inlineStr">
        <is>
          <t>2026-04-30</t>
        </is>
      </c>
      <c r="K44" s="6" t="inlineStr">
        <is>
          <t>2026-03-11</t>
        </is>
      </c>
      <c r="L44" s="6" t="inlineStr">
        <is>
          <t>127</t>
        </is>
      </c>
      <c r="M44" s="6" t="inlineStr">
        <is>
          <t>35.5</t>
        </is>
      </c>
      <c r="N44" s="6" t="inlineStr">
        <is>
          <t>21</t>
        </is>
      </c>
      <c r="O44" s="6" t="inlineStr">
        <is>
          <t>C-D12</t>
        </is>
      </c>
      <c r="P44" s="6" t="inlineStr">
        <is>
          <t>Livonia</t>
        </is>
      </c>
      <c r="Q44" s="6" t="inlineStr">
        <is>
          <t>15130 Levan Rd, Livonia, MI, 48154</t>
        </is>
      </c>
      <c r="R44" s="6" t="inlineStr">
        <is>
          <t>Talanki Viswanath, MD (2 ortho)</t>
        </is>
      </c>
      <c r="S44" s="6" t="inlineStr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>
      <c r="A45" s="6" t="inlineStr">
        <is>
          <t>Associated Orthopedists of Detroit-Shelby Township</t>
        </is>
      </c>
      <c r="B45" s="6" t="inlineStr">
        <is>
          <t>59a078a4-145e-43bb-8052-a1ff32814d1e</t>
        </is>
      </c>
      <c r="C45" s="6" t="inlineStr">
        <is>
          <t>Orthopedic</t>
        </is>
      </c>
      <c r="D45" s="6" t="inlineStr">
        <is>
          <t>Tier 2</t>
        </is>
      </c>
      <c r="E45" s="6" t="inlineStr">
        <is>
          <t>Ortho Referrer</t>
        </is>
      </c>
      <c r="F45" s="6" t="n">
        <v>49</v>
      </c>
      <c r="G45" s="6" t="n">
        <v>0</v>
      </c>
      <c r="H45" s="6" t="inlineStr">
        <is>
          <t>1</t>
        </is>
      </c>
      <c r="I45" s="6" t="inlineStr">
        <is>
          <t>1</t>
        </is>
      </c>
      <c r="J45" s="6" t="inlineStr">
        <is>
          <t>2026-05-21</t>
        </is>
      </c>
      <c r="K45" s="6" t="inlineStr">
        <is>
          <t>2026-07-07</t>
        </is>
      </c>
      <c r="L45" s="6" t="inlineStr">
        <is>
          <t>9</t>
        </is>
      </c>
      <c r="M45" s="6" t="inlineStr">
        <is>
          <t>70</t>
        </is>
      </c>
      <c r="N45" s="6" t="inlineStr">
        <is>
          <t>21</t>
        </is>
      </c>
      <c r="O45" s="6" t="inlineStr">
        <is>
          <t>C-D23</t>
        </is>
      </c>
      <c r="P45" s="6" t="inlineStr">
        <is>
          <t>Shelby Township</t>
        </is>
      </c>
      <c r="Q45" s="6" t="inlineStr">
        <is>
          <t>50505 Schoenherr Rd ste 120, Shelby Township, Michigan, 48315</t>
        </is>
      </c>
      <c r="R45" s="6" t="inlineStr">
        <is>
          <t>Andrew Farris Ajluni, DO (1 ortho)</t>
        </is>
      </c>
      <c r="S45" s="6" t="inlineStr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>
      <c r="A46" s="6" t="inlineStr">
        <is>
          <t>Urgent Care Family</t>
        </is>
      </c>
      <c r="B46" s="6" t="inlineStr">
        <is>
          <t>235de96a-2ae5-47a2-bf9a-8379e846684a</t>
        </is>
      </c>
      <c r="C46" s="6" t="inlineStr">
        <is>
          <t>Urgent Care</t>
        </is>
      </c>
      <c r="D46" s="6" t="inlineStr">
        <is>
          <t>Tier 2</t>
        </is>
      </c>
      <c r="E46" s="6" t="inlineStr">
        <is>
          <t>Ortho Referrer</t>
        </is>
      </c>
      <c r="F46" s="6" t="n">
        <v>48</v>
      </c>
      <c r="G46" s="6" t="n">
        <v>0</v>
      </c>
      <c r="H46" s="6" t="inlineStr">
        <is>
          <t>1</t>
        </is>
      </c>
      <c r="I46" s="6" t="inlineStr">
        <is>
          <t>1</t>
        </is>
      </c>
      <c r="J46" s="6" t="inlineStr">
        <is>
          <t>2026-06-23</t>
        </is>
      </c>
      <c r="K46" s="6" t="inlineStr">
        <is>
          <t>2026-06-25</t>
        </is>
      </c>
      <c r="L46" s="6" t="inlineStr">
        <is>
          <t>21</t>
        </is>
      </c>
      <c r="M46" s="6" t="inlineStr">
        <is>
          <t>18</t>
        </is>
      </c>
      <c r="N46" s="6" t="inlineStr">
        <is>
          <t>21</t>
        </is>
      </c>
      <c r="O46" s="6" t="inlineStr">
        <is>
          <t>C-D01</t>
        </is>
      </c>
      <c r="P46" s="6" t="inlineStr">
        <is>
          <t>Sterling Heights</t>
        </is>
      </c>
      <c r="Q46" s="6" t="inlineStr">
        <is>
          <t>5843 17 Mile Road, Sterling Heights, Michigan, 48310</t>
        </is>
      </c>
      <c r="R46" s="6" t="inlineStr">
        <is>
          <t>Lena Mansour, MD (1 ortho)</t>
        </is>
      </c>
      <c r="S46" s="6" t="inlineStr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>
      <c r="A47" s="6" t="inlineStr">
        <is>
          <t>Troy Primary Care</t>
        </is>
      </c>
      <c r="B47" s="6" t="inlineStr">
        <is>
          <t>e160ee5a-9916-41e2-b0c6-e2dae5007a6e</t>
        </is>
      </c>
      <c r="C47" s="6" t="inlineStr">
        <is>
          <t>PCP</t>
        </is>
      </c>
      <c r="D47" s="6" t="inlineStr">
        <is>
          <t>Tier 2</t>
        </is>
      </c>
      <c r="E47" s="6" t="inlineStr">
        <is>
          <t>Ortho Referrer</t>
        </is>
      </c>
      <c r="F47" s="6" t="n">
        <v>48</v>
      </c>
      <c r="G47" s="6" t="n">
        <v>0</v>
      </c>
      <c r="H47" s="6" t="inlineStr">
        <is>
          <t>1</t>
        </is>
      </c>
      <c r="I47" s="6" t="inlineStr">
        <is>
          <t>1</t>
        </is>
      </c>
      <c r="J47" s="6" t="inlineStr">
        <is>
          <t>2026-06-16</t>
        </is>
      </c>
      <c r="K47" s="6" t="inlineStr">
        <is>
          <t>2026-07-01</t>
        </is>
      </c>
      <c r="L47" s="6" t="inlineStr">
        <is>
          <t>15</t>
        </is>
      </c>
      <c r="M47" s="6" t="inlineStr">
        <is>
          <t>1</t>
        </is>
      </c>
      <c r="N47" s="6" t="inlineStr">
        <is>
          <t>21</t>
        </is>
      </c>
      <c r="O47" s="6" t="inlineStr">
        <is>
          <t>C-D04</t>
        </is>
      </c>
      <c r="P47" s="6" t="inlineStr">
        <is>
          <t>Troy</t>
        </is>
      </c>
      <c r="Q47" s="6" t="inlineStr">
        <is>
          <t>1380 Coolidge Hwy suite 200, Troy, Michigan, 48084</t>
        </is>
      </c>
      <c r="R47" s="6" t="inlineStr">
        <is>
          <t>Hadeel Kado, MD (1 ortho)</t>
        </is>
      </c>
      <c r="S47" s="6" t="inlineStr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6" t="inlineStr">
        <is>
          <t>Corewell Health Medical Group East</t>
        </is>
      </c>
      <c r="B48" s="6" t="inlineStr">
        <is>
          <t>94e41be8-c824-4bbd-8119-47ffbb084071</t>
        </is>
      </c>
      <c r="C48" s="6" t="inlineStr">
        <is>
          <t>PCP</t>
        </is>
      </c>
      <c r="D48" s="6" t="inlineStr">
        <is>
          <t>Tier 2</t>
        </is>
      </c>
      <c r="E48" s="6" t="inlineStr">
        <is>
          <t>Ortho Referrer</t>
        </is>
      </c>
      <c r="F48" s="6" t="n">
        <v>48</v>
      </c>
      <c r="G48" s="6" t="n">
        <v>0</v>
      </c>
      <c r="H48" s="6" t="inlineStr">
        <is>
          <t>1</t>
        </is>
      </c>
      <c r="I48" s="6" t="inlineStr">
        <is>
          <t>1</t>
        </is>
      </c>
      <c r="J48" s="6" t="inlineStr">
        <is>
          <t>2026-03-04</t>
        </is>
      </c>
      <c r="K48" s="6" t="inlineStr">
        <is>
          <t>2026-06-25</t>
        </is>
      </c>
      <c r="L48" s="6" t="inlineStr">
        <is>
          <t>21</t>
        </is>
      </c>
      <c r="M48" s="6" t="inlineStr">
        <is>
          <t>16</t>
        </is>
      </c>
      <c r="N48" s="6" t="inlineStr">
        <is>
          <t>21</t>
        </is>
      </c>
      <c r="O48" s="6" t="inlineStr">
        <is>
          <t>C-D05</t>
        </is>
      </c>
      <c r="P48" s="6" t="inlineStr">
        <is>
          <t>Roseville</t>
        </is>
      </c>
      <c r="Q48" s="6" t="inlineStr">
        <is>
          <t>18325 E. 10 Mile Rd Suite 300, Roseville, MI, 48066</t>
        </is>
      </c>
      <c r="R48" s="6" t="inlineStr">
        <is>
          <t>Deepali Jain, MD (1 ortho)</t>
        </is>
      </c>
      <c r="S48" s="6" t="inlineStr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>
      <c r="A49" s="6" t="inlineStr">
        <is>
          <t>Corewell Health Family Medicine -SAINT CLAIR SHORES</t>
        </is>
      </c>
      <c r="B49" s="6" t="inlineStr">
        <is>
          <t>a7f38558-5076-4a5b-9bd2-68b110ff29c1</t>
        </is>
      </c>
      <c r="C49" s="6" t="inlineStr">
        <is>
          <t>PCP</t>
        </is>
      </c>
      <c r="D49" s="6" t="inlineStr">
        <is>
          <t>Tier 2</t>
        </is>
      </c>
      <c r="E49" s="6" t="inlineStr">
        <is>
          <t>Ortho Referrer</t>
        </is>
      </c>
      <c r="F49" s="6" t="n">
        <v>48</v>
      </c>
      <c r="G49" s="6" t="n">
        <v>0</v>
      </c>
      <c r="H49" s="6" t="inlineStr">
        <is>
          <t>1</t>
        </is>
      </c>
      <c r="I49" s="6" t="inlineStr">
        <is>
          <t>1</t>
        </is>
      </c>
      <c r="J49" s="6" t="inlineStr">
        <is>
          <t>2026-06-15</t>
        </is>
      </c>
      <c r="K49" s="6" t="inlineStr">
        <is>
          <t>2026-06-18</t>
        </is>
      </c>
      <c r="L49" s="6" t="inlineStr">
        <is>
          <t>28</t>
        </is>
      </c>
      <c r="M49" s="6" t="inlineStr">
        <is>
          <t>49</t>
        </is>
      </c>
      <c r="N49" s="6" t="inlineStr">
        <is>
          <t>21</t>
        </is>
      </c>
      <c r="O49" s="6" t="inlineStr">
        <is>
          <t>C-D05</t>
        </is>
      </c>
      <c r="P49" s="6" t="inlineStr">
        <is>
          <t>SAINT CLAIR SHORES</t>
        </is>
      </c>
      <c r="Q49" s="6" t="inlineStr">
        <is>
          <t>25631 LITTLE MACK AVE STE 103, SAINT CLAIR SHORES, Michigan</t>
        </is>
      </c>
      <c r="R49" s="6" t="inlineStr">
        <is>
          <t>Sheena P Shah, MD (1 ortho)</t>
        </is>
      </c>
      <c r="S49" s="6" t="inlineStr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>
      <c r="A50" s="6" t="inlineStr">
        <is>
          <t>Oakland Internal Medicine Associates - Henry Ford</t>
        </is>
      </c>
      <c r="B50" s="6" t="inlineStr">
        <is>
          <t>1053422006</t>
        </is>
      </c>
      <c r="C50" s="6" t="inlineStr">
        <is>
          <t>PCP</t>
        </is>
      </c>
      <c r="D50" s="6" t="inlineStr">
        <is>
          <t>Tier 2</t>
        </is>
      </c>
      <c r="E50" s="6" t="inlineStr">
        <is>
          <t>Ortho Referrer</t>
        </is>
      </c>
      <c r="F50" s="6" t="n">
        <v>48</v>
      </c>
      <c r="G50" s="6" t="n">
        <v>0</v>
      </c>
      <c r="H50" s="6" t="inlineStr">
        <is>
          <t>1</t>
        </is>
      </c>
      <c r="I50" s="6" t="inlineStr">
        <is>
          <t>2</t>
        </is>
      </c>
      <c r="J50" s="6" t="inlineStr">
        <is>
          <t>2026-04-23</t>
        </is>
      </c>
      <c r="K50" s="6" t="inlineStr">
        <is>
          <t>2026-07-16</t>
        </is>
      </c>
      <c r="L50" s="6" t="inlineStr">
        <is>
          <t>0</t>
        </is>
      </c>
      <c r="M50" s="6" t="inlineStr">
        <is>
          <t>45</t>
        </is>
      </c>
      <c r="N50" s="6" t="inlineStr">
        <is>
          <t>21</t>
        </is>
      </c>
      <c r="O50" s="6" t="inlineStr">
        <is>
          <t>C-D09</t>
        </is>
      </c>
      <c r="P50" s="6" t="inlineStr">
        <is>
          <t>Milford</t>
        </is>
      </c>
      <c r="Q50" s="6" t="inlineStr">
        <is>
          <t>1435 N. Milford, ste 100, Milford, MI, 48381</t>
        </is>
      </c>
      <c r="R50" s="6" t="inlineStr">
        <is>
          <t>Tiffany Lynn Bassily, DO (1 ortho) · James M Learner, DO</t>
        </is>
      </c>
      <c r="S50" s="6" t="inlineStr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>
      <c r="A51" s="6" t="inlineStr">
        <is>
          <t>GREAT LAKE PHYSICIANS, PC</t>
        </is>
      </c>
      <c r="B51" s="6" t="inlineStr">
        <is>
          <t>5eb36bb9-fcd1-4d12-be8d-6cc4527f5a13</t>
        </is>
      </c>
      <c r="C51" s="6" t="inlineStr">
        <is>
          <t>Orthopedic</t>
        </is>
      </c>
      <c r="D51" s="6" t="inlineStr">
        <is>
          <t>Tier 2</t>
        </is>
      </c>
      <c r="E51" s="6" t="inlineStr">
        <is>
          <t>Ortho Referrer</t>
        </is>
      </c>
      <c r="F51" s="6" t="n">
        <v>48</v>
      </c>
      <c r="G51" s="6" t="n">
        <v>0</v>
      </c>
      <c r="H51" s="6" t="inlineStr">
        <is>
          <t>1</t>
        </is>
      </c>
      <c r="I51" s="6" t="inlineStr">
        <is>
          <t>1</t>
        </is>
      </c>
      <c r="J51" s="6" t="inlineStr">
        <is>
          <t>2026-06-10</t>
        </is>
      </c>
      <c r="K51" s="6" t="inlineStr">
        <is>
          <t>2026-06-19</t>
        </is>
      </c>
      <c r="L51" s="6" t="inlineStr">
        <is>
          <t>27</t>
        </is>
      </c>
      <c r="M51" s="6" t="inlineStr">
        <is>
          <t>89</t>
        </is>
      </c>
      <c r="N51" s="6" t="inlineStr">
        <is>
          <t>21</t>
        </is>
      </c>
      <c r="O51" s="6" t="inlineStr">
        <is>
          <t>C-D10</t>
        </is>
      </c>
      <c r="P51" s="6" t="inlineStr">
        <is>
          <t>LIVONIA</t>
        </is>
      </c>
      <c r="Q51" s="6" t="inlineStr">
        <is>
          <t>36180 5 MILE RD, LIVONIA, Michigan, 48154</t>
        </is>
      </c>
      <c r="R51" s="6" t="inlineStr">
        <is>
          <t>Jayshree Desai, MD (1 ortho)</t>
        </is>
      </c>
      <c r="S51" s="6" t="inlineStr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>
      <c r="A52" s="6" t="inlineStr">
        <is>
          <t>Vital Medicine</t>
        </is>
      </c>
      <c r="B52" s="6" t="inlineStr">
        <is>
          <t>d96ab765-7e8d-447c-b9a1-72f2bcda2283</t>
        </is>
      </c>
      <c r="C52" s="6" t="inlineStr">
        <is>
          <t>PCP</t>
        </is>
      </c>
      <c r="D52" s="6" t="inlineStr">
        <is>
          <t>Tier 2</t>
        </is>
      </c>
      <c r="E52" s="6" t="inlineStr">
        <is>
          <t>Ortho Referrer</t>
        </is>
      </c>
      <c r="F52" s="6" t="n">
        <v>48</v>
      </c>
      <c r="G52" s="6" t="n">
        <v>0</v>
      </c>
      <c r="H52" s="6" t="inlineStr">
        <is>
          <t>1</t>
        </is>
      </c>
      <c r="I52" s="6" t="inlineStr">
        <is>
          <t>1</t>
        </is>
      </c>
      <c r="J52" s="6" t="inlineStr">
        <is>
          <t>2026-06-18</t>
        </is>
      </c>
      <c r="K52" s="6" t="inlineStr">
        <is>
          <t>2026-06-19</t>
        </is>
      </c>
      <c r="L52" s="6" t="inlineStr">
        <is>
          <t>27</t>
        </is>
      </c>
      <c r="M52" s="6" t="inlineStr">
        <is>
          <t>41</t>
        </is>
      </c>
      <c r="N52" s="6" t="inlineStr">
        <is>
          <t>21</t>
        </is>
      </c>
      <c r="O52" s="6" t="inlineStr">
        <is>
          <t>C-D10</t>
        </is>
      </c>
      <c r="P52" s="6" t="inlineStr">
        <is>
          <t>LIVONIA</t>
        </is>
      </c>
      <c r="Q52" s="6" t="inlineStr">
        <is>
          <t>37595 7 MILE RD STE 240, LIVONIA, MI, 48152</t>
        </is>
      </c>
      <c r="R52" s="6" t="inlineStr">
        <is>
          <t>Ala Shuker, MD (1 ortho)</t>
        </is>
      </c>
      <c r="S52" s="6" t="inlineStr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>
      <c r="A53" s="6" t="inlineStr">
        <is>
          <t>Troy Health Center</t>
        </is>
      </c>
      <c r="B53" s="6" t="inlineStr">
        <is>
          <t>c80937d7-1504-43ae-af51-bb0f13603168</t>
        </is>
      </c>
      <c r="C53" s="6" t="inlineStr">
        <is>
          <t>PCP</t>
        </is>
      </c>
      <c r="D53" s="6" t="inlineStr">
        <is>
          <t>Tier 2</t>
        </is>
      </c>
      <c r="E53" s="6" t="inlineStr">
        <is>
          <t>Ortho Referrer</t>
        </is>
      </c>
      <c r="F53" s="6" t="n">
        <v>48</v>
      </c>
      <c r="G53" s="6" t="n">
        <v>0</v>
      </c>
      <c r="H53" s="6" t="inlineStr">
        <is>
          <t>1</t>
        </is>
      </c>
      <c r="I53" s="6" t="inlineStr">
        <is>
          <t>2</t>
        </is>
      </c>
      <c r="J53" s="6" t="inlineStr">
        <is>
          <t>2026-03-27</t>
        </is>
      </c>
      <c r="K53" s="6" t="inlineStr">
        <is>
          <t>2026-07-01</t>
        </is>
      </c>
      <c r="L53" s="6" t="inlineStr">
        <is>
          <t>15</t>
        </is>
      </c>
      <c r="M53" s="6" t="inlineStr">
        <is>
          <t>65.5</t>
        </is>
      </c>
      <c r="N53" s="6" t="inlineStr">
        <is>
          <t>21</t>
        </is>
      </c>
      <c r="O53" s="6" t="inlineStr">
        <is>
          <t>C-D14</t>
        </is>
      </c>
      <c r="P53" s="6" t="inlineStr">
        <is>
          <t>Troy</t>
        </is>
      </c>
      <c r="Q53" s="6" t="inlineStr">
        <is>
          <t>1560 E Maple Rd ste 200, Troy, Michigan, 48083</t>
        </is>
      </c>
      <c r="R53" s="6" t="inlineStr">
        <is>
          <t>Jinping Xu, MD (1 ortho) · Nehman Lauder, MD</t>
        </is>
      </c>
      <c r="S53" s="6" t="inlineStr">
        <is>
          <t>Medicaid-likely — verify payer</t>
        </is>
      </c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>
      <c r="A54" s="6" t="inlineStr">
        <is>
          <t>Precise Chiropractic</t>
        </is>
      </c>
      <c r="B54" s="6" t="inlineStr">
        <is>
          <t>7949ef7e-580c-41cc-b7ee-5a5d6dadc605</t>
        </is>
      </c>
      <c r="C54" s="6" t="inlineStr">
        <is>
          <t>Chiropractor</t>
        </is>
      </c>
      <c r="D54" s="6" t="inlineStr">
        <is>
          <t>Tier 2</t>
        </is>
      </c>
      <c r="E54" s="6" t="inlineStr">
        <is>
          <t>Ortho Referrer</t>
        </is>
      </c>
      <c r="F54" s="6" t="n">
        <v>48</v>
      </c>
      <c r="G54" s="6" t="n">
        <v>0</v>
      </c>
      <c r="H54" s="6" t="inlineStr">
        <is>
          <t>1</t>
        </is>
      </c>
      <c r="I54" s="6" t="inlineStr">
        <is>
          <t>1</t>
        </is>
      </c>
      <c r="J54" s="6" t="inlineStr">
        <is>
          <t>2026-06-29</t>
        </is>
      </c>
      <c r="K54" s="6" t="inlineStr">
        <is>
          <t>2026-07-13</t>
        </is>
      </c>
      <c r="L54" s="6" t="inlineStr">
        <is>
          <t>3</t>
        </is>
      </c>
      <c r="M54" s="6" t="inlineStr">
        <is>
          <t>62</t>
        </is>
      </c>
      <c r="N54" s="6" t="inlineStr">
        <is>
          <t>21</t>
        </is>
      </c>
      <c r="O54" s="6" t="inlineStr">
        <is>
          <t>C-D16</t>
        </is>
      </c>
      <c r="P54" s="6" t="inlineStr">
        <is>
          <t>Troy</t>
        </is>
      </c>
      <c r="Q54" s="6" t="inlineStr">
        <is>
          <t>4101 John R Rd, Troy, Michigan, 48085</t>
        </is>
      </c>
      <c r="R54" s="6" t="inlineStr">
        <is>
          <t>Michael Hanselman (1 ortho)</t>
        </is>
      </c>
      <c r="S54" s="6" t="inlineStr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>
      <c r="A55" s="6" t="inlineStr">
        <is>
          <t>Corewell Internal Medicine Midway</t>
        </is>
      </c>
      <c r="B55" s="6" t="inlineStr">
        <is>
          <t>2ce334a8-959e-4c7d-9b94-f3d5cb4183a3</t>
        </is>
      </c>
      <c r="C55" s="6" t="inlineStr">
        <is>
          <t>PCP</t>
        </is>
      </c>
      <c r="D55" s="6" t="inlineStr">
        <is>
          <t>Tier 2</t>
        </is>
      </c>
      <c r="E55" s="6" t="inlineStr">
        <is>
          <t>Ortho Referrer</t>
        </is>
      </c>
      <c r="F55" s="6" t="n">
        <v>48</v>
      </c>
      <c r="G55" s="6" t="n">
        <v>0</v>
      </c>
      <c r="H55" s="6" t="inlineStr">
        <is>
          <t>1</t>
        </is>
      </c>
      <c r="I55" s="6" t="inlineStr">
        <is>
          <t>1</t>
        </is>
      </c>
      <c r="J55" s="6" t="inlineStr">
        <is>
          <t>2026-05-14</t>
        </is>
      </c>
      <c r="K55" s="6" t="inlineStr">
        <is>
          <t>2026-07-15</t>
        </is>
      </c>
      <c r="L55" s="6" t="inlineStr">
        <is>
          <t>1</t>
        </is>
      </c>
      <c r="M55" s="6" t="inlineStr">
        <is>
          <t>20</t>
        </is>
      </c>
      <c r="N55" s="6" t="inlineStr">
        <is>
          <t>21</t>
        </is>
      </c>
      <c r="O55" s="6" t="inlineStr">
        <is>
          <t>C-D18</t>
        </is>
      </c>
      <c r="P55" s="6" t="inlineStr">
        <is>
          <t>Rochester Hills</t>
        </is>
      </c>
      <c r="Q55" s="6" t="inlineStr">
        <is>
          <t>555 Barclay Circle, ste 150, Rochester Hills, Michigan, 48307</t>
        </is>
      </c>
      <c r="R55" s="6" t="inlineStr">
        <is>
          <t>Shailaja Rastogi, MD (1 ortho)</t>
        </is>
      </c>
      <c r="S55" s="6" t="inlineStr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>
      <c r="A56" s="6" t="inlineStr">
        <is>
          <t>Alliance - Macomb</t>
        </is>
      </c>
      <c r="B56" s="6" t="inlineStr">
        <is>
          <t>cfa43a87-0a00-4e16-8816-57177ce29fb3</t>
        </is>
      </c>
      <c r="C56" s="6" t="inlineStr">
        <is>
          <t>PCP</t>
        </is>
      </c>
      <c r="D56" s="6" t="inlineStr">
        <is>
          <t>Tier 2</t>
        </is>
      </c>
      <c r="E56" s="6" t="inlineStr">
        <is>
          <t>Ortho Referrer</t>
        </is>
      </c>
      <c r="F56" s="6" t="n">
        <v>48</v>
      </c>
      <c r="G56" s="6" t="n">
        <v>0</v>
      </c>
      <c r="H56" s="6" t="inlineStr">
        <is>
          <t>1</t>
        </is>
      </c>
      <c r="I56" s="6" t="inlineStr">
        <is>
          <t>2</t>
        </is>
      </c>
      <c r="J56" s="6" t="inlineStr">
        <is>
          <t>2026-07-09</t>
        </is>
      </c>
      <c r="K56" s="6" t="inlineStr">
        <is>
          <t>2026-07-07</t>
        </is>
      </c>
      <c r="L56" s="6" t="inlineStr">
        <is>
          <t>9</t>
        </is>
      </c>
      <c r="M56" s="6" t="inlineStr">
        <is>
          <t>4.5</t>
        </is>
      </c>
      <c r="N56" s="6" t="inlineStr">
        <is>
          <t>21</t>
        </is>
      </c>
      <c r="O56" s="6" t="inlineStr">
        <is>
          <t>C-D23</t>
        </is>
      </c>
      <c r="P56" s="6" t="inlineStr">
        <is>
          <t>Shelby Township</t>
        </is>
      </c>
      <c r="Q56" s="6" t="inlineStr">
        <is>
          <t>50505 Schoenherr Rd ste 300, Shelby Township, Michigan, 48315</t>
        </is>
      </c>
      <c r="R56" s="6" t="inlineStr">
        <is>
          <t>Leo Toomajian, DO (1 ortho) · Michael Savalli, DO</t>
        </is>
      </c>
      <c r="S56" s="6" t="inlineStr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>
      <c r="A57" s="6" t="inlineStr">
        <is>
          <t>Meadowbrook Internists</t>
        </is>
      </c>
      <c r="B57" s="6" t="inlineStr">
        <is>
          <t>302019e4-0b7f-4f55-bdca-192920804d63</t>
        </is>
      </c>
      <c r="C57" s="6" t="inlineStr">
        <is>
          <t>PCP</t>
        </is>
      </c>
      <c r="D57" s="6" t="inlineStr">
        <is>
          <t>Tier 2</t>
        </is>
      </c>
      <c r="E57" s="6" t="inlineStr">
        <is>
          <t>Ortho Referrer</t>
        </is>
      </c>
      <c r="F57" s="6" t="n">
        <v>48</v>
      </c>
      <c r="G57" s="6" t="n">
        <v>0</v>
      </c>
      <c r="H57" s="6" t="inlineStr">
        <is>
          <t>1</t>
        </is>
      </c>
      <c r="I57" s="6" t="inlineStr">
        <is>
          <t>1</t>
        </is>
      </c>
      <c r="J57" s="6" t="inlineStr">
        <is>
          <t>2026-01-29</t>
        </is>
      </c>
      <c r="K57" s="6" t="inlineStr">
        <is>
          <t>2026-06-23</t>
        </is>
      </c>
      <c r="L57" s="6" t="inlineStr">
        <is>
          <t>23</t>
        </is>
      </c>
      <c r="M57" s="6" t="inlineStr">
        <is>
          <t>111</t>
        </is>
      </c>
      <c r="N57" s="6" t="inlineStr">
        <is>
          <t>21</t>
        </is>
      </c>
      <c r="O57" s="6" t="inlineStr">
        <is>
          <t>C-D24</t>
        </is>
      </c>
      <c r="P57" s="6" t="inlineStr">
        <is>
          <t>Rochester Hills</t>
        </is>
      </c>
      <c r="Q57" s="6" t="inlineStr">
        <is>
          <t>75 Barclay Cir, #230, Rochester Hills, Michigan, 48307</t>
        </is>
      </c>
      <c r="R57" s="6" t="inlineStr">
        <is>
          <t>Namir Stephan, MD (1 ortho)</t>
        </is>
      </c>
      <c r="S57" s="6" t="inlineStr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>
      <c r="A58" s="6" t="inlineStr">
        <is>
          <t>Barclay Internists</t>
        </is>
      </c>
      <c r="B58" s="6" t="inlineStr">
        <is>
          <t>1528076619</t>
        </is>
      </c>
      <c r="C58" s="6" t="inlineStr">
        <is>
          <t>PCP</t>
        </is>
      </c>
      <c r="D58" s="6" t="inlineStr">
        <is>
          <t>Tier 2</t>
        </is>
      </c>
      <c r="E58" s="6" t="inlineStr">
        <is>
          <t>Ortho Referrer</t>
        </is>
      </c>
      <c r="F58" s="6" t="n">
        <v>48</v>
      </c>
      <c r="G58" s="6" t="n">
        <v>0</v>
      </c>
      <c r="H58" s="6" t="inlineStr">
        <is>
          <t>1</t>
        </is>
      </c>
      <c r="I58" s="6" t="inlineStr">
        <is>
          <t>1</t>
        </is>
      </c>
      <c r="J58" s="6" t="inlineStr">
        <is>
          <t>2026-01-06</t>
        </is>
      </c>
      <c r="K58" s="6" t="inlineStr">
        <is>
          <t>2026-07-15</t>
        </is>
      </c>
      <c r="L58" s="6" t="inlineStr">
        <is>
          <t>1</t>
        </is>
      </c>
      <c r="M58" s="6" t="inlineStr">
        <is>
          <t>88</t>
        </is>
      </c>
      <c r="N58" s="6" t="inlineStr">
        <is>
          <t>21</t>
        </is>
      </c>
      <c r="O58" s="6" t="inlineStr">
        <is>
          <t>C-D24</t>
        </is>
      </c>
      <c r="P58" s="6" t="inlineStr">
        <is>
          <t>Rochester</t>
        </is>
      </c>
      <c r="Q58" s="6" t="inlineStr">
        <is>
          <t>75 Barclay Circle, ste 120, Rochester, MI, 48307</t>
        </is>
      </c>
      <c r="R58" s="6" t="inlineStr">
        <is>
          <t>Abdel Wahab Meri, MD (1 ortho)</t>
        </is>
      </c>
      <c r="S58" s="6" t="inlineStr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6" t="inlineStr">
        <is>
          <t>Beaumont Associated Family Care - Warren</t>
        </is>
      </c>
      <c r="B59" s="6" t="inlineStr">
        <is>
          <t>81c6691d-f02d-49d9-940d-49ca3462c7fa</t>
        </is>
      </c>
      <c r="C59" s="6" t="inlineStr">
        <is>
          <t>PCP</t>
        </is>
      </c>
      <c r="D59" s="6" t="inlineStr">
        <is>
          <t>Tier 2</t>
        </is>
      </c>
      <c r="E59" s="6" t="inlineStr">
        <is>
          <t>Ortho Referrer</t>
        </is>
      </c>
      <c r="F59" s="6" t="n">
        <v>48</v>
      </c>
      <c r="G59" s="6" t="n">
        <v>0</v>
      </c>
      <c r="H59" s="6" t="inlineStr">
        <is>
          <t>1</t>
        </is>
      </c>
      <c r="I59" s="6" t="inlineStr">
        <is>
          <t>2</t>
        </is>
      </c>
      <c r="J59" s="6" t="inlineStr">
        <is>
          <t>2026-06-22</t>
        </is>
      </c>
      <c r="K59" s="6" t="inlineStr">
        <is>
          <t>2026-07-09</t>
        </is>
      </c>
      <c r="L59" s="6" t="inlineStr">
        <is>
          <t>7</t>
        </is>
      </c>
      <c r="M59" s="6" t="inlineStr">
        <is>
          <t>32.5</t>
        </is>
      </c>
      <c r="N59" s="6" t="inlineStr">
        <is>
          <t>21</t>
        </is>
      </c>
      <c r="O59" s="6" t="inlineStr">
        <is>
          <t>C-D25</t>
        </is>
      </c>
      <c r="P59" s="6" t="inlineStr">
        <is>
          <t>Warren</t>
        </is>
      </c>
      <c r="Q59" s="6" t="inlineStr">
        <is>
          <t>8545 Common Rd, Ste 280, Warren, Michigan, 480936772</t>
        </is>
      </c>
      <c r="R59" s="6" t="inlineStr">
        <is>
          <t>Peera, Ava (Zoc Doc) (1 ortho) · Ava Peera</t>
        </is>
      </c>
      <c r="S59" s="6" t="inlineStr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>
      <c r="A60" s="6" t="inlineStr">
        <is>
          <t>Prism Medical Group - Family Medicine Ste 240</t>
        </is>
      </c>
      <c r="B60" s="6" t="inlineStr">
        <is>
          <t>b95fc8ff-585a-4d2e-9aae-c2ea0fd1b50c</t>
        </is>
      </c>
      <c r="C60" s="6" t="inlineStr">
        <is>
          <t>PCP</t>
        </is>
      </c>
      <c r="D60" s="6" t="inlineStr">
        <is>
          <t>Tier 2</t>
        </is>
      </c>
      <c r="E60" s="6" t="inlineStr">
        <is>
          <t>Ortho Referrer</t>
        </is>
      </c>
      <c r="F60" s="6" t="n">
        <v>48</v>
      </c>
      <c r="G60" s="6" t="n">
        <v>0</v>
      </c>
      <c r="H60" s="6" t="inlineStr">
        <is>
          <t>1</t>
        </is>
      </c>
      <c r="I60" s="6" t="inlineStr">
        <is>
          <t>2</t>
        </is>
      </c>
      <c r="J60" s="6" t="inlineStr">
        <is>
          <t>2026-05-05</t>
        </is>
      </c>
      <c r="K60" s="6" t="inlineStr">
        <is>
          <t>2026-06-23</t>
        </is>
      </c>
      <c r="L60" s="6" t="inlineStr">
        <is>
          <t>23</t>
        </is>
      </c>
      <c r="M60" s="6" t="inlineStr">
        <is>
          <t>143</t>
        </is>
      </c>
      <c r="N60" s="6" t="inlineStr">
        <is>
          <t>21</t>
        </is>
      </c>
      <c r="O60" s="6" t="inlineStr">
        <is>
          <t>C-D32</t>
        </is>
      </c>
      <c r="P60" s="6" t="inlineStr">
        <is>
          <t>Rochester Hills</t>
        </is>
      </c>
      <c r="Q60" s="6" t="inlineStr">
        <is>
          <t>1701 E South Blvd ste 240, Rochester Hills, Michigan, 48307</t>
        </is>
      </c>
      <c r="R60" s="6" t="inlineStr">
        <is>
          <t>Roby J Geevarghese, MD (1 ortho) · Kelly Z Ortwine, MD</t>
        </is>
      </c>
      <c r="S60" s="6" t="inlineStr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s="6" t="inlineStr">
        <is>
          <t>John R Medical Clinic</t>
        </is>
      </c>
      <c r="B61" s="6" t="inlineStr">
        <is>
          <t>1720079437</t>
        </is>
      </c>
      <c r="C61" s="6" t="inlineStr">
        <is>
          <t>PCP</t>
        </is>
      </c>
      <c r="D61" s="6" t="inlineStr">
        <is>
          <t>Tier 2</t>
        </is>
      </c>
      <c r="E61" s="6" t="inlineStr">
        <is>
          <t>Ortho Referrer</t>
        </is>
      </c>
      <c r="F61" s="6" t="n">
        <v>47</v>
      </c>
      <c r="G61" s="6" t="n">
        <v>0</v>
      </c>
      <c r="H61" s="6" t="inlineStr">
        <is>
          <t>1</t>
        </is>
      </c>
      <c r="I61" s="6" t="inlineStr">
        <is>
          <t>1</t>
        </is>
      </c>
      <c r="J61" s="6" t="inlineStr">
        <is>
          <t>2026-06-25</t>
        </is>
      </c>
      <c r="K61" s="6" t="inlineStr">
        <is>
          <t>2026-06-24</t>
        </is>
      </c>
      <c r="L61" s="6" t="inlineStr">
        <is>
          <t>22</t>
        </is>
      </c>
      <c r="M61" s="6" t="inlineStr">
        <is>
          <t>1</t>
        </is>
      </c>
      <c r="N61" s="6" t="inlineStr">
        <is>
          <t>21</t>
        </is>
      </c>
      <c r="O61" s="6" t="inlineStr">
        <is>
          <t>C-D03</t>
        </is>
      </c>
      <c r="P61" s="6" t="inlineStr">
        <is>
          <t>Madison Heights</t>
        </is>
      </c>
      <c r="Q61" s="6" t="inlineStr">
        <is>
          <t>26505 John R Rd, Madison Heights, MI, 48071</t>
        </is>
      </c>
      <c r="R61" s="6" t="inlineStr">
        <is>
          <t>Habib G Gennaoui, MD (1 ortho)</t>
        </is>
      </c>
      <c r="S61" s="6" t="inlineStr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>
      <c r="A62" s="6" t="inlineStr">
        <is>
          <t>Shores Internal Medicine</t>
        </is>
      </c>
      <c r="B62" s="6" t="inlineStr">
        <is>
          <t>1154434975</t>
        </is>
      </c>
      <c r="C62" s="6" t="inlineStr">
        <is>
          <t>PCP</t>
        </is>
      </c>
      <c r="D62" s="6" t="inlineStr">
        <is>
          <t>Tier 2</t>
        </is>
      </c>
      <c r="E62" s="6" t="inlineStr">
        <is>
          <t>Ortho Referrer</t>
        </is>
      </c>
      <c r="F62" s="6" t="n">
        <v>47</v>
      </c>
      <c r="G62" s="6" t="n">
        <v>0</v>
      </c>
      <c r="H62" s="6" t="inlineStr">
        <is>
          <t>1</t>
        </is>
      </c>
      <c r="I62" s="6" t="inlineStr">
        <is>
          <t>1</t>
        </is>
      </c>
      <c r="J62" s="6" t="inlineStr">
        <is>
          <t>2026-06-24</t>
        </is>
      </c>
      <c r="K62" s="6" t="inlineStr">
        <is>
          <t>2026-06-25</t>
        </is>
      </c>
      <c r="L62" s="6" t="inlineStr">
        <is>
          <t>21</t>
        </is>
      </c>
      <c r="M62" s="6" t="inlineStr">
        <is>
          <t>58</t>
        </is>
      </c>
      <c r="N62" s="6" t="inlineStr">
        <is>
          <t>21</t>
        </is>
      </c>
      <c r="O62" s="6" t="inlineStr">
        <is>
          <t>C-D05</t>
        </is>
      </c>
      <c r="P62" s="6" t="inlineStr">
        <is>
          <t>Saint Clair Shores</t>
        </is>
      </c>
      <c r="Q62" s="6" t="inlineStr">
        <is>
          <t>24800 Harper, Saint Clair Shores, MI, 48080</t>
        </is>
      </c>
      <c r="R62" s="6" t="inlineStr">
        <is>
          <t>Sailaja Datla, MD (1 ortho)</t>
        </is>
      </c>
      <c r="S62" s="6" t="inlineStr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>
      <c r="A63" s="6" t="inlineStr">
        <is>
          <t>Premier Family Physicians</t>
        </is>
      </c>
      <c r="B63" s="6" t="inlineStr">
        <is>
          <t>1700883345</t>
        </is>
      </c>
      <c r="C63" s="6" t="inlineStr">
        <is>
          <t>PCP</t>
        </is>
      </c>
      <c r="D63" s="6" t="inlineStr">
        <is>
          <t>Tier 2</t>
        </is>
      </c>
      <c r="E63" s="6" t="inlineStr">
        <is>
          <t>Ortho Referrer</t>
        </is>
      </c>
      <c r="F63" s="6" t="n">
        <v>47</v>
      </c>
      <c r="G63" s="6" t="n">
        <v>0</v>
      </c>
      <c r="H63" s="6" t="inlineStr">
        <is>
          <t>1</t>
        </is>
      </c>
      <c r="I63" s="6" t="inlineStr">
        <is>
          <t>1</t>
        </is>
      </c>
      <c r="J63" s="6" t="inlineStr">
        <is>
          <t>2026-06-17</t>
        </is>
      </c>
      <c r="K63" s="6" t="inlineStr">
        <is>
          <t>2026-06-18</t>
        </is>
      </c>
      <c r="L63" s="6" t="inlineStr">
        <is>
          <t>28</t>
        </is>
      </c>
      <c r="M63" s="6" t="inlineStr">
        <is>
          <t>51</t>
        </is>
      </c>
      <c r="N63" s="6" t="inlineStr">
        <is>
          <t>21</t>
        </is>
      </c>
      <c r="O63" s="6" t="inlineStr">
        <is>
          <t>C-D06</t>
        </is>
      </c>
      <c r="P63" s="6" t="inlineStr">
        <is>
          <t>Saint Clair Shores</t>
        </is>
      </c>
      <c r="Q63" s="6" t="inlineStr">
        <is>
          <t>24100 Little Mack Ave, Saint Clair Shores, MI, 48080</t>
        </is>
      </c>
      <c r="R63" s="6" t="inlineStr">
        <is>
          <t>Farzin Reza Namei, MD (1 ortho)</t>
        </is>
      </c>
      <c r="S63" s="6" t="inlineStr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>
      <c r="A64" s="6" t="inlineStr">
        <is>
          <t>Cornerstone Garfield Family Practice - Ascension</t>
        </is>
      </c>
      <c r="B64" s="6" t="inlineStr">
        <is>
          <t>67778aa6-f0ab-4aac-80f9-0de0c25b2ac8</t>
        </is>
      </c>
      <c r="C64" s="6" t="inlineStr">
        <is>
          <t>PCP</t>
        </is>
      </c>
      <c r="D64" s="6" t="inlineStr">
        <is>
          <t>Tier 2</t>
        </is>
      </c>
      <c r="E64" s="6" t="inlineStr">
        <is>
          <t>Ortho Referrer</t>
        </is>
      </c>
      <c r="F64" s="6" t="n">
        <v>47</v>
      </c>
      <c r="G64" s="6" t="n">
        <v>0</v>
      </c>
      <c r="H64" s="6" t="inlineStr">
        <is>
          <t>1</t>
        </is>
      </c>
      <c r="I64" s="6" t="inlineStr">
        <is>
          <t>3</t>
        </is>
      </c>
      <c r="J64" s="6" t="inlineStr">
        <is>
          <t>2026-07-06</t>
        </is>
      </c>
      <c r="K64" s="6" t="inlineStr">
        <is>
          <t>2026-06-16</t>
        </is>
      </c>
      <c r="L64" s="6" t="inlineStr">
        <is>
          <t>30</t>
        </is>
      </c>
      <c r="M64" s="6" t="inlineStr">
        <is>
          <t>4</t>
        </is>
      </c>
      <c r="N64" s="6" t="inlineStr">
        <is>
          <t>21</t>
        </is>
      </c>
      <c r="O64" s="6" t="inlineStr">
        <is>
          <t>C-D08</t>
        </is>
      </c>
      <c r="P64" s="6" t="inlineStr">
        <is>
          <t>Clinton Township</t>
        </is>
      </c>
      <c r="Q64" s="6" t="inlineStr">
        <is>
          <t>43900 Garfield Rd ste 222, Clinton Township, Michigan, 48038</t>
        </is>
      </c>
      <c r="R64" s="6" t="inlineStr">
        <is>
          <t>Carlisle Vendittelli, MD (1 ortho) · Ryan Gleesing, DO</t>
        </is>
      </c>
      <c r="S64" s="6" t="inlineStr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>
      <c r="A65" s="6" t="inlineStr">
        <is>
          <t>Hope Medical Center</t>
        </is>
      </c>
      <c r="B65" s="6" t="inlineStr">
        <is>
          <t>58979922-388f-454f-97f0-c730f11f6434</t>
        </is>
      </c>
      <c r="C65" s="6" t="inlineStr">
        <is>
          <t>PCP</t>
        </is>
      </c>
      <c r="D65" s="6" t="inlineStr">
        <is>
          <t>Tier 2</t>
        </is>
      </c>
      <c r="E65" s="6" t="inlineStr">
        <is>
          <t>Ortho Referrer</t>
        </is>
      </c>
      <c r="F65" s="6" t="n">
        <v>47</v>
      </c>
      <c r="G65" s="6" t="n">
        <v>0</v>
      </c>
      <c r="H65" s="6" t="inlineStr">
        <is>
          <t>1</t>
        </is>
      </c>
      <c r="I65" s="6" t="inlineStr">
        <is>
          <t>1</t>
        </is>
      </c>
      <c r="J65" s="6" t="inlineStr">
        <is>
          <t>2026-02-12</t>
        </is>
      </c>
      <c r="K65" s="6" t="inlineStr">
        <is>
          <t>2026-06-26</t>
        </is>
      </c>
      <c r="L65" s="6" t="inlineStr">
        <is>
          <t>20</t>
        </is>
      </c>
      <c r="M65" s="6" t="inlineStr">
        <is>
          <t>0</t>
        </is>
      </c>
      <c r="N65" s="6" t="inlineStr">
        <is>
          <t>21</t>
        </is>
      </c>
      <c r="O65" s="6" t="inlineStr">
        <is>
          <t>C-D16</t>
        </is>
      </c>
      <c r="P65" s="6" t="inlineStr">
        <is>
          <t>Sterling Heights</t>
        </is>
      </c>
      <c r="Q65" s="6" t="inlineStr">
        <is>
          <t>3840 17 Mile Road, Sterling Heights, Michigan, 48310</t>
        </is>
      </c>
      <c r="R65" s="6" t="inlineStr">
        <is>
          <t>Raja Lewis, MD (1 ortho)</t>
        </is>
      </c>
      <c r="S65" s="6" t="inlineStr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>
      <c r="A66" s="6" t="inlineStr">
        <is>
          <t>Belamedica</t>
        </is>
      </c>
      <c r="B66" s="6" t="inlineStr">
        <is>
          <t>b0dd30c7-d622-45a0-afcc-00519e73eca3</t>
        </is>
      </c>
      <c r="C66" s="6" t="inlineStr">
        <is>
          <t>PCP</t>
        </is>
      </c>
      <c r="D66" s="6" t="inlineStr">
        <is>
          <t>Tier 2</t>
        </is>
      </c>
      <c r="E66" s="6" t="inlineStr">
        <is>
          <t>Ortho Referrer</t>
        </is>
      </c>
      <c r="F66" s="6" t="n">
        <v>47</v>
      </c>
      <c r="G66" s="6" t="n">
        <v>0</v>
      </c>
      <c r="H66" s="6" t="inlineStr">
        <is>
          <t>1</t>
        </is>
      </c>
      <c r="I66" s="6" t="inlineStr">
        <is>
          <t>1</t>
        </is>
      </c>
      <c r="J66" s="6" t="inlineStr">
        <is>
          <t>2026-06-22</t>
        </is>
      </c>
      <c r="K66" s="6" t="inlineStr">
        <is>
          <t>2026-06-25</t>
        </is>
      </c>
      <c r="L66" s="6" t="inlineStr">
        <is>
          <t>21</t>
        </is>
      </c>
      <c r="M66" s="6" t="inlineStr">
        <is>
          <t>405</t>
        </is>
      </c>
      <c r="N66" s="6" t="inlineStr">
        <is>
          <t>21</t>
        </is>
      </c>
      <c r="O66" s="6" t="inlineStr">
        <is>
          <t>C-D26</t>
        </is>
      </c>
      <c r="P66" s="6" t="inlineStr">
        <is>
          <t>Troy</t>
        </is>
      </c>
      <c r="Q66" s="6" t="inlineStr">
        <is>
          <t>3250 W Big Beaver Rd #144, Troy, Michigan, 48084</t>
        </is>
      </c>
      <c r="R66" s="6" t="inlineStr">
        <is>
          <t>Svetlana Mishulin, MD (1 ortho)</t>
        </is>
      </c>
      <c r="S66" s="6" t="inlineStr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>
      <c r="A67" s="6" t="inlineStr">
        <is>
          <t>Normandy Family Practice</t>
        </is>
      </c>
      <c r="B67" s="6" t="inlineStr">
        <is>
          <t>1265482095</t>
        </is>
      </c>
      <c r="C67" s="6" t="inlineStr">
        <is>
          <t>PCP</t>
        </is>
      </c>
      <c r="D67" s="6" t="inlineStr">
        <is>
          <t>Tier 2</t>
        </is>
      </c>
      <c r="E67" s="6" t="inlineStr">
        <is>
          <t>Ortho Referrer</t>
        </is>
      </c>
      <c r="F67" s="6" t="n">
        <v>47</v>
      </c>
      <c r="G67" s="6" t="n">
        <v>0</v>
      </c>
      <c r="H67" s="6" t="inlineStr">
        <is>
          <t>1</t>
        </is>
      </c>
      <c r="I67" s="6" t="inlineStr">
        <is>
          <t>1</t>
        </is>
      </c>
      <c r="J67" s="6" t="inlineStr">
        <is>
          <t>2026-04-01</t>
        </is>
      </c>
      <c r="K67" s="6" t="inlineStr">
        <is>
          <t>2026-06-16</t>
        </is>
      </c>
      <c r="L67" s="6" t="inlineStr">
        <is>
          <t>30</t>
        </is>
      </c>
      <c r="M67" s="6" t="inlineStr">
        <is>
          <t>13</t>
        </is>
      </c>
      <c r="N67" s="6" t="inlineStr">
        <is>
          <t>21</t>
        </is>
      </c>
      <c r="O67" s="6" t="inlineStr">
        <is>
          <t>C-D27</t>
        </is>
      </c>
      <c r="P67" s="6" t="inlineStr">
        <is>
          <t>Clinton Township</t>
        </is>
      </c>
      <c r="Q67" s="6" t="inlineStr">
        <is>
          <t>36367 Harper Ave, Clinton Township, MI, 48035</t>
        </is>
      </c>
      <c r="R67" s="6" t="inlineStr">
        <is>
          <t>Mark R Kurzawa, MD (1 ortho)</t>
        </is>
      </c>
      <c r="S67" s="6" t="inlineStr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>
      <c r="A68" s="6" t="inlineStr">
        <is>
          <t>Prism Medical Group - Internal Medicine</t>
        </is>
      </c>
      <c r="B68" s="6" t="inlineStr">
        <is>
          <t>2e8aa328-e0cf-478e-8b39-00f6628c15ac</t>
        </is>
      </c>
      <c r="C68" s="6" t="inlineStr">
        <is>
          <t>PCP</t>
        </is>
      </c>
      <c r="D68" s="6" t="inlineStr">
        <is>
          <t>Tier 2</t>
        </is>
      </c>
      <c r="E68" s="6" t="inlineStr">
        <is>
          <t>Ortho Referrer</t>
        </is>
      </c>
      <c r="F68" s="6" t="n">
        <v>47</v>
      </c>
      <c r="G68" s="6" t="n">
        <v>0</v>
      </c>
      <c r="H68" s="6" t="inlineStr">
        <is>
          <t>1</t>
        </is>
      </c>
      <c r="I68" s="6" t="inlineStr">
        <is>
          <t>1</t>
        </is>
      </c>
      <c r="J68" s="6" t="inlineStr">
        <is>
          <t>2026-03-26</t>
        </is>
      </c>
      <c r="K68" s="6" t="inlineStr">
        <is>
          <t>2026-05-18</t>
        </is>
      </c>
      <c r="L68" s="6" t="inlineStr">
        <is>
          <t>59</t>
        </is>
      </c>
      <c r="M68" s="6" t="inlineStr">
        <is>
          <t>31</t>
        </is>
      </c>
      <c r="N68" s="6" t="inlineStr">
        <is>
          <t>21</t>
        </is>
      </c>
      <c r="O68" s="6" t="inlineStr">
        <is>
          <t>C-D32</t>
        </is>
      </c>
      <c r="P68" s="6" t="inlineStr">
        <is>
          <t>Rochester Hills</t>
        </is>
      </c>
      <c r="Q68" s="6" t="inlineStr">
        <is>
          <t>1701 South Boulevard East, Suite 290, Rochester Hills, Michigan, 48307</t>
        </is>
      </c>
      <c r="R68" s="6" t="inlineStr">
        <is>
          <t>Todd Hachigian, MD (1 ortho)</t>
        </is>
      </c>
      <c r="S68" s="6" t="inlineStr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>
      <c r="A69" s="6" t="inlineStr">
        <is>
          <t>MHP Internal Medicine</t>
        </is>
      </c>
      <c r="B69" s="6" t="inlineStr">
        <is>
          <t>1699828632</t>
        </is>
      </c>
      <c r="C69" s="6" t="inlineStr">
        <is>
          <t>PCP</t>
        </is>
      </c>
      <c r="D69" s="6" t="inlineStr">
        <is>
          <t>Tier 2</t>
        </is>
      </c>
      <c r="E69" s="6" t="inlineStr">
        <is>
          <t>Ortho Referrer</t>
        </is>
      </c>
      <c r="F69" s="6" t="n">
        <v>46</v>
      </c>
      <c r="G69" s="6" t="n">
        <v>0</v>
      </c>
      <c r="H69" s="6" t="inlineStr">
        <is>
          <t>1</t>
        </is>
      </c>
      <c r="I69" s="6" t="inlineStr">
        <is>
          <t>1</t>
        </is>
      </c>
      <c r="J69" s="6" t="inlineStr">
        <is>
          <t>2026-05-27</t>
        </is>
      </c>
      <c r="K69" s="6" t="inlineStr">
        <is>
          <t>2026-06-01</t>
        </is>
      </c>
      <c r="L69" s="6" t="inlineStr">
        <is>
          <t>45</t>
        </is>
      </c>
      <c r="M69" s="6" t="inlineStr">
        <is>
          <t>61</t>
        </is>
      </c>
      <c r="N69" s="6" t="inlineStr">
        <is>
          <t>21</t>
        </is>
      </c>
      <c r="O69" s="6" t="inlineStr">
        <is>
          <t>C-D03</t>
        </is>
      </c>
      <c r="P69" s="6" t="inlineStr">
        <is>
          <t>Madison Heights</t>
        </is>
      </c>
      <c r="Q69" s="6" t="inlineStr">
        <is>
          <t>27483 DeQuindre Rd suite 302, Madison Heights, Michigan, 48071</t>
        </is>
      </c>
      <c r="R69" s="6" t="inlineStr">
        <is>
          <t>Gary Langnas, DO (1 ortho)</t>
        </is>
      </c>
      <c r="S69" s="6" t="inlineStr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>
      <c r="A70" s="6" t="inlineStr">
        <is>
          <t>Clarkston Medical Group Adult &amp; Pediatric Medicine</t>
        </is>
      </c>
      <c r="B70" s="6" t="inlineStr">
        <is>
          <t>b24ac823-2845-4622-ad3b-eb46f7171bbb</t>
        </is>
      </c>
      <c r="C70" s="6" t="inlineStr">
        <is>
          <t>PCP</t>
        </is>
      </c>
      <c r="D70" s="6" t="inlineStr">
        <is>
          <t>Tier 2</t>
        </is>
      </c>
      <c r="E70" s="6" t="inlineStr">
        <is>
          <t>Ortho Referrer</t>
        </is>
      </c>
      <c r="F70" s="6" t="n">
        <v>46</v>
      </c>
      <c r="G70" s="6" t="n">
        <v>0</v>
      </c>
      <c r="H70" s="6" t="inlineStr">
        <is>
          <t>1</t>
        </is>
      </c>
      <c r="I70" s="6" t="inlineStr">
        <is>
          <t>1</t>
        </is>
      </c>
      <c r="J70" s="6" t="inlineStr">
        <is>
          <t>2026-03-04</t>
        </is>
      </c>
      <c r="K70" s="6" t="inlineStr">
        <is>
          <t>2026-06-08</t>
        </is>
      </c>
      <c r="L70" s="6" t="inlineStr">
        <is>
          <t>38</t>
        </is>
      </c>
      <c r="M70" s="6" t="inlineStr">
        <is>
          <t>2</t>
        </is>
      </c>
      <c r="N70" s="6" t="inlineStr">
        <is>
          <t>21</t>
        </is>
      </c>
      <c r="O70" s="6" t="inlineStr">
        <is>
          <t>C-D21</t>
        </is>
      </c>
      <c r="P70" s="6" t="inlineStr">
        <is>
          <t>Village of Clarkston</t>
        </is>
      </c>
      <c r="Q70" s="6" t="inlineStr">
        <is>
          <t>5625 Water Tower Place, Village of Clarkston, Michigan, 48346</t>
        </is>
      </c>
      <c r="R70" s="6" t="inlineStr">
        <is>
          <t>Katherine Zwark French, DO (1 ortho)</t>
        </is>
      </c>
      <c r="S70" s="6" t="inlineStr">
        <is>
          <t>Pediatric (Jul 20 rule) → Review for removal</t>
        </is>
      </c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>
      <c r="A71" s="6" t="inlineStr">
        <is>
          <t>Physicians in Family Medicine</t>
        </is>
      </c>
      <c r="B71" s="6" t="inlineStr">
        <is>
          <t>1932288693</t>
        </is>
      </c>
      <c r="C71" s="6" t="inlineStr">
        <is>
          <t>PCP</t>
        </is>
      </c>
      <c r="D71" s="6" t="inlineStr">
        <is>
          <t>Tier 2</t>
        </is>
      </c>
      <c r="E71" s="6" t="inlineStr">
        <is>
          <t>Ortho Referrer</t>
        </is>
      </c>
      <c r="F71" s="6" t="n">
        <v>46</v>
      </c>
      <c r="G71" s="6" t="n">
        <v>0</v>
      </c>
      <c r="H71" s="6" t="inlineStr">
        <is>
          <t>1</t>
        </is>
      </c>
      <c r="I71" s="6" t="inlineStr">
        <is>
          <t>1</t>
        </is>
      </c>
      <c r="J71" s="6" t="inlineStr">
        <is>
          <t>2026-06-09</t>
        </is>
      </c>
      <c r="K71" s="6" t="inlineStr">
        <is>
          <t>2026-06-05</t>
        </is>
      </c>
      <c r="L71" s="6" t="inlineStr">
        <is>
          <t>41</t>
        </is>
      </c>
      <c r="M71" s="6" t="inlineStr">
        <is>
          <t>4</t>
        </is>
      </c>
      <c r="N71" s="6" t="inlineStr">
        <is>
          <t>21</t>
        </is>
      </c>
      <c r="O71" s="6" t="inlineStr">
        <is>
          <t>C-D26</t>
        </is>
      </c>
      <c r="P71" s="6" t="inlineStr">
        <is>
          <t>Rochester Hills</t>
        </is>
      </c>
      <c r="Q71" s="6" t="inlineStr">
        <is>
          <t>940 W Avon Rd, Rochester Hills, Michigan, 48307</t>
        </is>
      </c>
      <c r="R71" s="6" t="inlineStr">
        <is>
          <t>Pamela Pirzada, DO (1 ortho)</t>
        </is>
      </c>
      <c r="S71" s="6" t="inlineStr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</row>
    <row r="72">
      <c r="A72" s="6" t="inlineStr">
        <is>
          <t>Clarkston Medical Group</t>
        </is>
      </c>
      <c r="B72" s="6" t="inlineStr">
        <is>
          <t>24639120-4fbe-4135-8d9e-1409bb0fd8cb</t>
        </is>
      </c>
      <c r="C72" s="6" t="inlineStr">
        <is>
          <t>PCP</t>
        </is>
      </c>
      <c r="D72" s="6" t="inlineStr">
        <is>
          <t>Tier 2</t>
        </is>
      </c>
      <c r="E72" s="6" t="inlineStr">
        <is>
          <t>Ortho Referrer</t>
        </is>
      </c>
      <c r="F72" s="6" t="n">
        <v>46</v>
      </c>
      <c r="G72" s="6" t="n">
        <v>0</v>
      </c>
      <c r="H72" s="6" t="inlineStr">
        <is>
          <t>1</t>
        </is>
      </c>
      <c r="I72" s="6" t="inlineStr">
        <is>
          <t>1</t>
        </is>
      </c>
      <c r="J72" s="6" t="inlineStr">
        <is>
          <t>2026-04-17</t>
        </is>
      </c>
      <c r="K72" s="6" t="inlineStr">
        <is>
          <t>2026-06-08</t>
        </is>
      </c>
      <c r="L72" s="6" t="inlineStr">
        <is>
          <t>38</t>
        </is>
      </c>
      <c r="M72" s="6" t="inlineStr">
        <is>
          <t>46</t>
        </is>
      </c>
      <c r="N72" s="6" t="inlineStr">
        <is>
          <t>21</t>
        </is>
      </c>
      <c r="O72" s="6" t="inlineStr">
        <is>
          <t>C-D28</t>
        </is>
      </c>
      <c r="P72" s="6" t="inlineStr">
        <is>
          <t>Clarkston</t>
        </is>
      </c>
      <c r="Q72" s="6" t="inlineStr">
        <is>
          <t>5701 Bow Pointe Dr ste 100, Clarkston, Michigan, 48346</t>
        </is>
      </c>
      <c r="R72" s="6" t="inlineStr">
        <is>
          <t>Dean Moscovic, DO (1 ortho)</t>
        </is>
      </c>
      <c r="S72" s="6" t="inlineStr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>
      <c r="A73" s="6" t="inlineStr">
        <is>
          <t>TRENTON TOTAL HEALTH CARE CENTER, PC</t>
        </is>
      </c>
      <c r="B73" s="6" t="inlineStr">
        <is>
          <t>865f8b49-ce19-4ffd-8643-a755635f6ccc</t>
        </is>
      </c>
      <c r="C73" s="6" t="inlineStr">
        <is>
          <t>Orthopedic</t>
        </is>
      </c>
      <c r="D73" s="6" t="inlineStr">
        <is>
          <t>Tier 2</t>
        </is>
      </c>
      <c r="E73" s="6" t="inlineStr">
        <is>
          <t>Ortho Referrer</t>
        </is>
      </c>
      <c r="F73" s="6" t="n">
        <v>46</v>
      </c>
      <c r="G73" s="6" t="n">
        <v>0</v>
      </c>
      <c r="H73" s="6" t="inlineStr">
        <is>
          <t>1</t>
        </is>
      </c>
      <c r="I73" s="6" t="inlineStr">
        <is>
          <t>1</t>
        </is>
      </c>
      <c r="J73" s="6" t="inlineStr">
        <is>
          <t>2026-05-29</t>
        </is>
      </c>
      <c r="K73" s="6" t="inlineStr">
        <is>
          <t>2026-03-27</t>
        </is>
      </c>
      <c r="L73" s="6" t="inlineStr">
        <is>
          <t>111</t>
        </is>
      </c>
      <c r="M73" s="6" t="inlineStr">
        <is>
          <t>63</t>
        </is>
      </c>
      <c r="N73" s="6" t="inlineStr">
        <is>
          <t>21</t>
        </is>
      </c>
      <c r="O73" s="6" t="inlineStr">
        <is>
          <t>C-D29</t>
        </is>
      </c>
      <c r="P73" s="6" t="inlineStr">
        <is>
          <t>Trenton</t>
        </is>
      </c>
      <c r="Q73" s="6" t="inlineStr">
        <is>
          <t>1675 Kingsway Court, Trenton, Michigan, 48183</t>
        </is>
      </c>
      <c r="R73" s="6" t="inlineStr">
        <is>
          <t>Kajoor Sudhakara, MD (1 ortho)</t>
        </is>
      </c>
      <c r="S73" s="6" t="inlineStr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</row>
    <row r="74">
      <c r="A74" s="6" t="inlineStr">
        <is>
          <t>Henry Ford Macomb Health Center - Fraser</t>
        </is>
      </c>
      <c r="B74" s="6" t="inlineStr">
        <is>
          <t>1902134794</t>
        </is>
      </c>
      <c r="C74" s="6" t="inlineStr">
        <is>
          <t>PCP</t>
        </is>
      </c>
      <c r="D74" s="6" t="inlineStr">
        <is>
          <t>Tier 2</t>
        </is>
      </c>
      <c r="E74" s="6" t="inlineStr">
        <is>
          <t>Ortho Referrer</t>
        </is>
      </c>
      <c r="F74" s="6" t="n">
        <v>45</v>
      </c>
      <c r="G74" s="6" t="n">
        <v>0</v>
      </c>
      <c r="H74" s="6" t="inlineStr">
        <is>
          <t>1</t>
        </is>
      </c>
      <c r="I74" s="6" t="inlineStr">
        <is>
          <t>1</t>
        </is>
      </c>
      <c r="J74" s="6" t="inlineStr">
        <is>
          <t>2026-05-05</t>
        </is>
      </c>
      <c r="K74" s="6" t="inlineStr">
        <is>
          <t>2026-03-26</t>
        </is>
      </c>
      <c r="L74" s="6" t="inlineStr">
        <is>
          <t>112</t>
        </is>
      </c>
      <c r="M74" s="6" t="inlineStr">
        <is>
          <t>40</t>
        </is>
      </c>
      <c r="N74" s="6" t="inlineStr">
        <is>
          <t>21</t>
        </is>
      </c>
      <c r="O74" s="6" t="inlineStr">
        <is>
          <t>C-D11</t>
        </is>
      </c>
      <c r="P74" s="6" t="inlineStr">
        <is>
          <t>Clinton Township</t>
        </is>
      </c>
      <c r="Q74" s="6" t="inlineStr">
        <is>
          <t>15717 15 Mile Rd, Clinton Township, MI, 48035</t>
        </is>
      </c>
      <c r="R74" s="6" t="inlineStr">
        <is>
          <t>Nicholas S Packey, DO (1 ortho)</t>
        </is>
      </c>
      <c r="S74" s="6" t="inlineStr">
        <is>
          <t>Medicaid-likely — verify payer</t>
        </is>
      </c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>
      <c r="A75" s="6" t="inlineStr">
        <is>
          <t>Springfield Urgent Care - Hamburg</t>
        </is>
      </c>
      <c r="B75" s="6" t="inlineStr">
        <is>
          <t>0da678d4-9648-4315-8770-fb6768c5c2ea</t>
        </is>
      </c>
      <c r="C75" s="6" t="inlineStr">
        <is>
          <t>Urgent Care</t>
        </is>
      </c>
      <c r="D75" s="6" t="inlineStr">
        <is>
          <t>Tier 2</t>
        </is>
      </c>
      <c r="E75" s="6" t="inlineStr">
        <is>
          <t>Ortho Referrer</t>
        </is>
      </c>
      <c r="F75" s="6" t="n">
        <v>45</v>
      </c>
      <c r="G75" s="6" t="n">
        <v>0</v>
      </c>
      <c r="H75" s="6" t="inlineStr">
        <is>
          <t>1</t>
        </is>
      </c>
      <c r="I75" s="6" t="inlineStr">
        <is>
          <t>1</t>
        </is>
      </c>
      <c r="J75" s="6" t="inlineStr">
        <is>
          <t>2026-01-30</t>
        </is>
      </c>
      <c r="K75" s="6" t="inlineStr">
        <is>
          <t>2026-02-11</t>
        </is>
      </c>
      <c r="L75" s="6" t="inlineStr">
        <is>
          <t>155</t>
        </is>
      </c>
      <c r="M75" s="6" t="inlineStr">
        <is>
          <t>718</t>
        </is>
      </c>
      <c r="N75" s="6" t="inlineStr">
        <is>
          <t>21</t>
        </is>
      </c>
      <c r="O75" s="6" t="inlineStr">
        <is>
          <t>C-D30</t>
        </is>
      </c>
      <c r="P75" s="6" t="inlineStr">
        <is>
          <t>Whitmore Lake</t>
        </is>
      </c>
      <c r="Q75" s="6" t="inlineStr">
        <is>
          <t>9547 Chilson Commons Cir, Whitmore Lake, Michigan, 48189</t>
        </is>
      </c>
      <c r="R75" s="6" t="inlineStr">
        <is>
          <t>Springfield Urgent Care - Hamburg (1 ortho)</t>
        </is>
      </c>
      <c r="S75" s="6" t="inlineStr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</row>
    <row r="76">
      <c r="A76" s="6" t="inlineStr">
        <is>
          <t>Corondan Medical</t>
        </is>
      </c>
      <c r="B76" s="6" t="inlineStr">
        <is>
          <t>1376594887</t>
        </is>
      </c>
      <c r="C76" s="6" t="inlineStr">
        <is>
          <t>PCP</t>
        </is>
      </c>
      <c r="D76" s="6" t="inlineStr">
        <is>
          <t>Tier 2</t>
        </is>
      </c>
      <c r="E76" s="6" t="inlineStr">
        <is>
          <t>Ortho Referrer</t>
        </is>
      </c>
      <c r="F76" s="6" t="n">
        <v>44</v>
      </c>
      <c r="G76" s="6" t="n">
        <v>0</v>
      </c>
      <c r="H76" s="6" t="inlineStr">
        <is>
          <t>1</t>
        </is>
      </c>
      <c r="I76" s="6" t="inlineStr">
        <is>
          <t>1</t>
        </is>
      </c>
      <c r="J76" s="6" t="inlineStr">
        <is>
          <t>2026-04-01</t>
        </is>
      </c>
      <c r="K76" s="6" t="inlineStr">
        <is>
          <t>2026-04-17</t>
        </is>
      </c>
      <c r="L76" s="6" t="inlineStr">
        <is>
          <t>90</t>
        </is>
      </c>
      <c r="M76" s="6" t="inlineStr">
        <is>
          <t>5</t>
        </is>
      </c>
      <c r="N76" s="6" t="inlineStr">
        <is>
          <t>21</t>
        </is>
      </c>
      <c r="O76" s="6" t="inlineStr">
        <is>
          <t>C-D01</t>
        </is>
      </c>
      <c r="P76" s="6" t="inlineStr">
        <is>
          <t>Warren</t>
        </is>
      </c>
      <c r="Q76" s="6" t="inlineStr">
        <is>
          <t>14050 14 Mile Rd, Warren, MI, 48088</t>
        </is>
      </c>
      <c r="R76" s="6" t="inlineStr">
        <is>
          <t>Victor Corondan, MD (1 ortho)</t>
        </is>
      </c>
      <c r="S76" s="6" t="inlineStr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>
      <c r="A77" s="6" t="inlineStr">
        <is>
          <t>Saurabh Gupta MD</t>
        </is>
      </c>
      <c r="B77" s="6" t="inlineStr">
        <is>
          <t>1912926510</t>
        </is>
      </c>
      <c r="C77" s="6" t="inlineStr">
        <is>
          <t>PCP</t>
        </is>
      </c>
      <c r="D77" s="6" t="inlineStr">
        <is>
          <t>Tier 2</t>
        </is>
      </c>
      <c r="E77" s="6" t="inlineStr">
        <is>
          <t>Ortho Referrer</t>
        </is>
      </c>
      <c r="F77" s="6" t="n">
        <v>44</v>
      </c>
      <c r="G77" s="6" t="n">
        <v>0</v>
      </c>
      <c r="H77" s="6" t="inlineStr">
        <is>
          <t>1</t>
        </is>
      </c>
      <c r="I77" s="6" t="inlineStr">
        <is>
          <t>1</t>
        </is>
      </c>
      <c r="J77" s="6" t="inlineStr">
        <is>
          <t>2026-07-06</t>
        </is>
      </c>
      <c r="K77" s="6" t="inlineStr">
        <is>
          <t>2025-05-16</t>
        </is>
      </c>
      <c r="L77" s="6" t="inlineStr">
        <is>
          <t>426</t>
        </is>
      </c>
      <c r="M77" s="6" t="inlineStr">
        <is>
          <t>416</t>
        </is>
      </c>
      <c r="N77" s="6" t="inlineStr">
        <is>
          <t>21</t>
        </is>
      </c>
      <c r="O77" s="6" t="inlineStr">
        <is>
          <t>C-D14</t>
        </is>
      </c>
      <c r="P77" s="6" t="inlineStr">
        <is>
          <t>Madison Heights</t>
        </is>
      </c>
      <c r="Q77" s="6" t="inlineStr">
        <is>
          <t>610 E 12 Mile Rd, Madison Heights, MI, 480712567</t>
        </is>
      </c>
      <c r="R77" s="6" t="inlineStr">
        <is>
          <t>Saurabh Gupta, MD (1 ortho)</t>
        </is>
      </c>
      <c r="S77" s="6" t="inlineStr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</row>
    <row r="78">
      <c r="A78" s="6" t="inlineStr">
        <is>
          <t>Midwest Center for Dermatology - Warren</t>
        </is>
      </c>
      <c r="B78" s="6" t="inlineStr">
        <is>
          <t>1205831005</t>
        </is>
      </c>
      <c r="C78" s="6" t="inlineStr">
        <is>
          <t>Other / Verify</t>
        </is>
      </c>
      <c r="D78" s="6" t="inlineStr">
        <is>
          <t>Tier 2</t>
        </is>
      </c>
      <c r="E78" s="6" t="inlineStr">
        <is>
          <t>Ortho Referrer</t>
        </is>
      </c>
      <c r="F78" s="6" t="n">
        <v>44</v>
      </c>
      <c r="G78" s="6" t="n">
        <v>0</v>
      </c>
      <c r="H78" s="6" t="inlineStr">
        <is>
          <t>1</t>
        </is>
      </c>
      <c r="I78" s="6" t="inlineStr">
        <is>
          <t>1</t>
        </is>
      </c>
      <c r="J78" s="6" t="inlineStr">
        <is>
          <t>2026-05-15</t>
        </is>
      </c>
      <c r="K78" s="6" t="inlineStr">
        <is>
          <t>2023-08-04</t>
        </is>
      </c>
      <c r="L78" s="6" t="inlineStr">
        <is>
          <t>1077</t>
        </is>
      </c>
      <c r="M78" s="6" t="inlineStr">
        <is>
          <t>1015</t>
        </is>
      </c>
      <c r="N78" s="6" t="inlineStr">
        <is>
          <t>21</t>
        </is>
      </c>
      <c r="O78" s="6" t="inlineStr">
        <is>
          <t>C-D25</t>
        </is>
      </c>
      <c r="P78" s="6" t="inlineStr">
        <is>
          <t>Warren</t>
        </is>
      </c>
      <c r="Q78" s="6" t="inlineStr">
        <is>
          <t>11900 E 12 Mile Rd, ste 201, Warren, MI, 480933490</t>
        </is>
      </c>
      <c r="R78" s="6" t="inlineStr">
        <is>
          <t>David A Altman (1 ortho)</t>
        </is>
      </c>
      <c r="S78" s="6" t="inlineStr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6" t="inlineStr">
        <is>
          <t>Michigan Spine Institute</t>
        </is>
      </c>
      <c r="B79" s="6" t="inlineStr">
        <is>
          <t>989f0eea-dc08-4445-9a51-ee7663255964</t>
        </is>
      </c>
      <c r="C79" s="6" t="inlineStr">
        <is>
          <t>Orthopedic</t>
        </is>
      </c>
      <c r="D79" s="6" t="inlineStr">
        <is>
          <t>Tier 3</t>
        </is>
      </c>
      <c r="E79" s="6" t="inlineStr">
        <is>
          <t>Other Patient Referrer</t>
        </is>
      </c>
      <c r="F79" s="6" t="n">
        <v>33</v>
      </c>
      <c r="G79" s="6" t="n">
        <v>0</v>
      </c>
      <c r="H79" s="6" t="inlineStr">
        <is>
          <t>0</t>
        </is>
      </c>
      <c r="I79" s="6" t="inlineStr">
        <is>
          <t>5</t>
        </is>
      </c>
      <c r="J79" s="6" t="inlineStr">
        <is>
          <t>2026-06-08</t>
        </is>
      </c>
      <c r="K79" s="6" t="inlineStr">
        <is>
          <t>2025-10-28</t>
        </is>
      </c>
      <c r="L79" s="6" t="inlineStr">
        <is>
          <t>261</t>
        </is>
      </c>
      <c r="M79" s="6" t="inlineStr">
        <is>
          <t>160</t>
        </is>
      </c>
      <c r="N79" s="6" t="inlineStr">
        <is>
          <t>30</t>
        </is>
      </c>
      <c r="O79" s="6" t="inlineStr">
        <is>
          <t>C-D21</t>
        </is>
      </c>
      <c r="P79" s="6" t="inlineStr">
        <is>
          <t>Waterford Township</t>
        </is>
      </c>
      <c r="Q79" s="6" t="inlineStr">
        <is>
          <t>5220 Highland Rd #210, Waterford Township, Michigan, 48327</t>
        </is>
      </c>
      <c r="R79" s="6" t="inlineStr">
        <is>
          <t>Miguelangelo Perez- Cruet, MD</t>
        </is>
      </c>
      <c r="S79" s="6" t="inlineStr">
        <is>
          <t>Ortho group w/ in-house spine? verify (Jul 20 rule) → Review for removal</t>
        </is>
      </c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</row>
    <row r="80">
      <c r="A80" s="6" t="inlineStr">
        <is>
          <t>Michigan Institute for Neurological Disorders (MIND) - Farmington Hills</t>
        </is>
      </c>
      <c r="B80" s="6" t="inlineStr">
        <is>
          <t>1962472241</t>
        </is>
      </c>
      <c r="C80" s="6" t="inlineStr">
        <is>
          <t>Pain</t>
        </is>
      </c>
      <c r="D80" s="6" t="inlineStr">
        <is>
          <t>Tier 3</t>
        </is>
      </c>
      <c r="E80" s="6" t="inlineStr">
        <is>
          <t>Other Patient Referrer</t>
        </is>
      </c>
      <c r="F80" s="6" t="n">
        <v>27</v>
      </c>
      <c r="G80" s="6" t="n">
        <v>0</v>
      </c>
      <c r="H80" s="6" t="inlineStr">
        <is>
          <t>0</t>
        </is>
      </c>
      <c r="I80" s="6" t="inlineStr">
        <is>
          <t>2</t>
        </is>
      </c>
      <c r="J80" s="6" t="inlineStr">
        <is>
          <t>2026-05-01</t>
        </is>
      </c>
      <c r="K80" s="6" t="inlineStr">
        <is>
          <t>2026-05-28</t>
        </is>
      </c>
      <c r="L80" s="6" t="inlineStr">
        <is>
          <t>49</t>
        </is>
      </c>
      <c r="M80" s="6" t="inlineStr">
        <is>
          <t>59</t>
        </is>
      </c>
      <c r="N80" s="6" t="inlineStr">
        <is>
          <t>30</t>
        </is>
      </c>
      <c r="O80" s="6" t="inlineStr">
        <is>
          <t>C-D31</t>
        </is>
      </c>
      <c r="P80" s="6" t="inlineStr">
        <is>
          <t>Farmington</t>
        </is>
      </c>
      <c r="Q80" s="6" t="inlineStr">
        <is>
          <t>28595 Orchard Lake Road, ste 200, Farmington, Michigan, 483342977</t>
        </is>
      </c>
      <c r="R80" s="6" t="inlineStr">
        <is>
          <t>Daniel Feldman, MD · Daniel Singer, DO</t>
        </is>
      </c>
      <c r="S80" s="6" t="inlineStr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>
      <c r="A81" s="6" t="inlineStr">
        <is>
          <t>Michigan Institute for Neurological Disorders (MIND) - Roseville</t>
        </is>
      </c>
      <c r="B81" s="6" t="inlineStr">
        <is>
          <t>7d9074be-0dfe-445c-9ff8-65b5eadde58e</t>
        </is>
      </c>
      <c r="C81" s="6" t="inlineStr">
        <is>
          <t>Pain</t>
        </is>
      </c>
      <c r="D81" s="6" t="inlineStr">
        <is>
          <t>Tier 3</t>
        </is>
      </c>
      <c r="E81" s="6" t="inlineStr">
        <is>
          <t>Other Patient Referrer</t>
        </is>
      </c>
      <c r="F81" s="6" t="n">
        <v>25</v>
      </c>
      <c r="G81" s="6" t="n">
        <v>0</v>
      </c>
      <c r="H81" s="6" t="inlineStr">
        <is>
          <t>0</t>
        </is>
      </c>
      <c r="I81" s="6" t="inlineStr">
        <is>
          <t>1</t>
        </is>
      </c>
      <c r="J81" s="6" t="inlineStr">
        <is>
          <t>2026-01-27</t>
        </is>
      </c>
      <c r="K81" s="6" t="inlineStr">
        <is>
          <t>2026-06-25</t>
        </is>
      </c>
      <c r="L81" s="6" t="inlineStr">
        <is>
          <t>21</t>
        </is>
      </c>
      <c r="M81" s="6" t="inlineStr">
        <is>
          <t>83</t>
        </is>
      </c>
      <c r="N81" s="6" t="inlineStr">
        <is>
          <t>30</t>
        </is>
      </c>
      <c r="O81" s="6" t="inlineStr">
        <is>
          <t>C-D05</t>
        </is>
      </c>
      <c r="P81" s="6" t="inlineStr">
        <is>
          <t>Roseville</t>
        </is>
      </c>
      <c r="Q81" s="6" t="inlineStr">
        <is>
          <t>25100 Kelly Rd, Roseville, Michigan, 48066</t>
        </is>
      </c>
      <c r="R81" s="6" t="inlineStr">
        <is>
          <t>Brandon Vieder, DO</t>
        </is>
      </c>
      <c r="S81" s="6" t="inlineStr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</row>
    <row r="82">
      <c r="A82" s="6" t="inlineStr">
        <is>
          <t>Neurology Consultants of Southfield</t>
        </is>
      </c>
      <c r="B82" s="6" t="inlineStr">
        <is>
          <t>1003819897</t>
        </is>
      </c>
      <c r="C82" s="6" t="inlineStr">
        <is>
          <t>Neurology</t>
        </is>
      </c>
      <c r="D82" s="6" t="inlineStr">
        <is>
          <t>Tier 3</t>
        </is>
      </c>
      <c r="E82" s="6" t="inlineStr">
        <is>
          <t>Other Patient Referrer</t>
        </is>
      </c>
      <c r="F82" s="6" t="n">
        <v>25</v>
      </c>
      <c r="G82" s="6" t="n">
        <v>0</v>
      </c>
      <c r="H82" s="6" t="inlineStr">
        <is>
          <t>0</t>
        </is>
      </c>
      <c r="I82" s="6" t="inlineStr">
        <is>
          <t>1</t>
        </is>
      </c>
      <c r="J82" s="6" t="inlineStr">
        <is>
          <t>2026-07-06</t>
        </is>
      </c>
      <c r="K82" s="6" t="inlineStr">
        <is>
          <t>2026-07-08</t>
        </is>
      </c>
      <c r="L82" s="6" t="inlineStr">
        <is>
          <t>8</t>
        </is>
      </c>
      <c r="M82" s="6" t="inlineStr">
        <is>
          <t>39</t>
        </is>
      </c>
      <c r="N82" s="6" t="inlineStr">
        <is>
          <t>30</t>
        </is>
      </c>
      <c r="O82" s="6" t="inlineStr">
        <is>
          <t>C-D17</t>
        </is>
      </c>
      <c r="P82" s="6" t="inlineStr">
        <is>
          <t>Southfield</t>
        </is>
      </c>
      <c r="Q82" s="6" t="inlineStr">
        <is>
          <t>26400 West 12 Mile Rd, Suite 170, Southfield, MI, 48034</t>
        </is>
      </c>
      <c r="R82" s="6" t="inlineStr">
        <is>
          <t>William Leuchter, MD</t>
        </is>
      </c>
      <c r="S82" s="6" t="inlineStr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>
      <c r="A83" s="6" t="inlineStr">
        <is>
          <t>Foot &amp; Ankle Specialists of Southeast Michigan - Warren</t>
        </is>
      </c>
      <c r="B83" s="6" t="inlineStr">
        <is>
          <t>c47f040d-217f-4526-bd80-92b1073a4d77</t>
        </is>
      </c>
      <c r="C83" s="6" t="inlineStr">
        <is>
          <t>Other / Verify</t>
        </is>
      </c>
      <c r="D83" s="6" t="inlineStr">
        <is>
          <t>Tier 3</t>
        </is>
      </c>
      <c r="E83" s="6" t="inlineStr">
        <is>
          <t>Other Patient Referrer</t>
        </is>
      </c>
      <c r="F83" s="6" t="n">
        <v>23</v>
      </c>
      <c r="G83" s="6" t="n">
        <v>0</v>
      </c>
      <c r="H83" s="6" t="inlineStr">
        <is>
          <t>0</t>
        </is>
      </c>
      <c r="I83" s="6" t="inlineStr">
        <is>
          <t>1</t>
        </is>
      </c>
      <c r="J83" s="6" t="inlineStr">
        <is>
          <t>2026-06-25</t>
        </is>
      </c>
      <c r="K83" s="6" t="inlineStr">
        <is>
          <t>2026-07-02</t>
        </is>
      </c>
      <c r="L83" s="6" t="inlineStr">
        <is>
          <t>14</t>
        </is>
      </c>
      <c r="M83" s="6" t="inlineStr">
        <is>
          <t>17</t>
        </is>
      </c>
      <c r="N83" s="6" t="inlineStr">
        <is>
          <t>30</t>
        </is>
      </c>
      <c r="O83" s="6" t="inlineStr">
        <is>
          <t>C-D14</t>
        </is>
      </c>
      <c r="P83" s="6" t="inlineStr">
        <is>
          <t>Warren</t>
        </is>
      </c>
      <c r="Q83" s="6" t="inlineStr">
        <is>
          <t>29433 Ryan Rd, Warren, Michigan, 48092</t>
        </is>
      </c>
      <c r="R83" s="6" t="inlineStr">
        <is>
          <t>Brian Kissel, DPM</t>
        </is>
      </c>
      <c r="S83" s="6" t="inlineStr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</row>
    <row r="84">
      <c r="A84" s="6" t="inlineStr">
        <is>
          <t>Frederick Karoub MD PC</t>
        </is>
      </c>
      <c r="B84" s="6" t="inlineStr">
        <is>
          <t>1679554562</t>
        </is>
      </c>
      <c r="C84" s="6" t="inlineStr">
        <is>
          <t>PCP</t>
        </is>
      </c>
      <c r="D84" s="6" t="inlineStr">
        <is>
          <t>Tier 3</t>
        </is>
      </c>
      <c r="E84" s="6" t="inlineStr">
        <is>
          <t>Other Patient Referrer</t>
        </is>
      </c>
      <c r="F84" s="6" t="n">
        <v>23</v>
      </c>
      <c r="G84" s="6" t="n">
        <v>0</v>
      </c>
      <c r="H84" s="6" t="inlineStr">
        <is>
          <t>0</t>
        </is>
      </c>
      <c r="I84" s="6" t="inlineStr">
        <is>
          <t>1</t>
        </is>
      </c>
      <c r="J84" s="6" t="inlineStr">
        <is>
          <t>2026-01-05</t>
        </is>
      </c>
      <c r="K84" s="6" t="inlineStr">
        <is>
          <t>2026-06-17</t>
        </is>
      </c>
      <c r="L84" s="6" t="inlineStr">
        <is>
          <t>29</t>
        </is>
      </c>
      <c r="M84" s="6" t="inlineStr">
        <is>
          <t>102</t>
        </is>
      </c>
      <c r="N84" s="6" t="inlineStr">
        <is>
          <t>30</t>
        </is>
      </c>
      <c r="O84" s="6" t="inlineStr">
        <is>
          <t>C-D31</t>
        </is>
      </c>
      <c r="P84" s="6" t="inlineStr">
        <is>
          <t>Royal Oak</t>
        </is>
      </c>
      <c r="Q84" s="6" t="inlineStr">
        <is>
          <t>4045 West 13 Mile Road, Royal Oak, Michigan, 48073</t>
        </is>
      </c>
      <c r="R84" s="6" t="inlineStr">
        <is>
          <t>Carl Karoub, MD</t>
        </is>
      </c>
      <c r="S84" s="6" t="inlineStr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>
      <c r="A85" s="6" t="inlineStr">
        <is>
          <t>Michigan Orthopaedic &amp; Spine Surgeons</t>
        </is>
      </c>
      <c r="B85" s="6" t="inlineStr">
        <is>
          <t>0c7e4fda-32b4-4999-afc5-3ead3985f8c9</t>
        </is>
      </c>
      <c r="C85" s="6" t="inlineStr">
        <is>
          <t>Orthopedic</t>
        </is>
      </c>
      <c r="D85" s="6" t="inlineStr">
        <is>
          <t>Tier 3</t>
        </is>
      </c>
      <c r="E85" s="6" t="inlineStr">
        <is>
          <t>Other Patient Referrer</t>
        </is>
      </c>
      <c r="F85" s="6" t="n">
        <v>22</v>
      </c>
      <c r="G85" s="6" t="n">
        <v>0</v>
      </c>
      <c r="H85" s="6" t="inlineStr">
        <is>
          <t>0</t>
        </is>
      </c>
      <c r="I85" s="6" t="inlineStr">
        <is>
          <t>1</t>
        </is>
      </c>
      <c r="J85" s="6" t="inlineStr">
        <is>
          <t>2026-06-03</t>
        </is>
      </c>
      <c r="K85" s="6" t="inlineStr">
        <is>
          <t>2025-08-18</t>
        </is>
      </c>
      <c r="L85" s="6" t="inlineStr">
        <is>
          <t>332</t>
        </is>
      </c>
      <c r="M85" s="6" t="inlineStr">
        <is>
          <t>289</t>
        </is>
      </c>
      <c r="N85" s="6" t="inlineStr">
        <is>
          <t>30</t>
        </is>
      </c>
      <c r="O85" s="6" t="inlineStr">
        <is>
          <t>C-D18</t>
        </is>
      </c>
      <c r="P85" s="6" t="inlineStr">
        <is>
          <t>Rochester Hills</t>
        </is>
      </c>
      <c r="Q85" s="6" t="inlineStr">
        <is>
          <t>1555 East South Blvd, Unit 310, Rochester Hills, Michigan, 48307</t>
        </is>
      </c>
      <c r="R85" s="6" t="inlineStr">
        <is>
          <t>Bradley Ahlgren, MD</t>
        </is>
      </c>
      <c r="S85" s="6" t="inlineStr">
        <is>
          <t>Ortho group w/ in-house spine? verify (Jul 20 rule); Possible competitor (Jul 20 rule) → Review for removal</t>
        </is>
      </c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</row>
    <row r="86">
      <c r="A86" s="6" t="inlineStr">
        <is>
          <t>Michigan Head &amp; Spine Institute - Novi</t>
        </is>
      </c>
      <c r="B86" s="6" t="inlineStr">
        <is>
          <t>a2352347-063f-4a39-a0c1-25774fd3490b</t>
        </is>
      </c>
      <c r="C86" s="6" t="inlineStr">
        <is>
          <t>Orthopedic</t>
        </is>
      </c>
      <c r="D86" s="6" t="inlineStr">
        <is>
          <t>Tier 3</t>
        </is>
      </c>
      <c r="E86" s="6" t="inlineStr">
        <is>
          <t>Other Patient Referrer</t>
        </is>
      </c>
      <c r="F86" s="6" t="n">
        <v>22</v>
      </c>
      <c r="G86" s="6" t="n">
        <v>0</v>
      </c>
      <c r="H86" s="6" t="inlineStr">
        <is>
          <t>0</t>
        </is>
      </c>
      <c r="I86" s="6" t="inlineStr">
        <is>
          <t>1</t>
        </is>
      </c>
      <c r="J86" s="6" t="inlineStr">
        <is>
          <t>2026-04-07</t>
        </is>
      </c>
      <c r="K86" s="6" t="inlineStr">
        <is>
          <t>2025-03-13</t>
        </is>
      </c>
      <c r="L86" s="6" t="inlineStr">
        <is>
          <t>490</t>
        </is>
      </c>
      <c r="M86" s="6" t="inlineStr">
        <is>
          <t>390</t>
        </is>
      </c>
      <c r="N86" s="6" t="inlineStr">
        <is>
          <t>30</t>
        </is>
      </c>
      <c r="O86" s="6" t="inlineStr">
        <is>
          <t>C-D21</t>
        </is>
      </c>
      <c r="P86" s="6" t="inlineStr">
        <is>
          <t>Novi</t>
        </is>
      </c>
      <c r="Q86" s="6" t="inlineStr">
        <is>
          <t>25500 Meadowbrook Road, Novi, Michigan, 48375</t>
        </is>
      </c>
      <c r="R86" s="6" t="inlineStr">
        <is>
          <t>Karl Freydl, DO</t>
        </is>
      </c>
      <c r="S86" s="6" t="inlineStr">
        <is>
          <t>Ortho group w/ in-house spine? verify (Jul 20 rule) → Review for removal</t>
        </is>
      </c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>
      <c r="A87" s="6" t="inlineStr">
        <is>
          <t>Colleen Kennedy DO</t>
        </is>
      </c>
      <c r="B87" s="6" t="inlineStr">
        <is>
          <t>1538140744</t>
        </is>
      </c>
      <c r="C87" s="6" t="inlineStr">
        <is>
          <t>PCP</t>
        </is>
      </c>
      <c r="D87" s="6" t="inlineStr">
        <is>
          <t>Tier 3</t>
        </is>
      </c>
      <c r="E87" s="6" t="inlineStr">
        <is>
          <t>Other Patient Referrer</t>
        </is>
      </c>
      <c r="F87" s="6" t="n">
        <v>22</v>
      </c>
      <c r="G87" s="6" t="n">
        <v>0</v>
      </c>
      <c r="H87" s="6" t="inlineStr">
        <is>
          <t>0</t>
        </is>
      </c>
      <c r="I87" s="6" t="inlineStr">
        <is>
          <t>1</t>
        </is>
      </c>
      <c r="J87" s="6" t="inlineStr">
        <is>
          <t>2026-04-16</t>
        </is>
      </c>
      <c r="K87" s="6" t="inlineStr">
        <is>
          <t>2026-04-29</t>
        </is>
      </c>
      <c r="L87" s="6" t="inlineStr">
        <is>
          <t>78</t>
        </is>
      </c>
      <c r="M87" s="6" t="inlineStr">
        <is>
          <t>311</t>
        </is>
      </c>
      <c r="N87" s="6" t="inlineStr">
        <is>
          <t>30</t>
        </is>
      </c>
      <c r="O87" s="6" t="inlineStr">
        <is>
          <t>C-D24</t>
        </is>
      </c>
      <c r="P87" s="6" t="inlineStr">
        <is>
          <t>Rochester</t>
        </is>
      </c>
      <c r="Q87" s="6" t="inlineStr">
        <is>
          <t>427 W University, Rochester, MI, 48307</t>
        </is>
      </c>
      <c r="R87" s="6" t="inlineStr">
        <is>
          <t>Colleen Kennedy, DO</t>
        </is>
      </c>
      <c r="S87" s="6" t="inlineStr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</row>
    <row r="88">
      <c r="A88" s="6" t="inlineStr">
        <is>
          <t>WARREN PODIATRY</t>
        </is>
      </c>
      <c r="B88" s="6" t="inlineStr">
        <is>
          <t>4d38264b-b17e-42b4-9043-92ff06e62c09</t>
        </is>
      </c>
      <c r="C88" s="6" t="inlineStr">
        <is>
          <t>Other / Verify</t>
        </is>
      </c>
      <c r="D88" s="6" t="inlineStr">
        <is>
          <t>Tier 3</t>
        </is>
      </c>
      <c r="E88" s="6" t="inlineStr">
        <is>
          <t>Other Patient Referrer</t>
        </is>
      </c>
      <c r="F88" s="6" t="n">
        <v>22</v>
      </c>
      <c r="G88" s="6" t="n">
        <v>0</v>
      </c>
      <c r="H88" s="6" t="inlineStr">
        <is>
          <t>0</t>
        </is>
      </c>
      <c r="I88" s="6" t="inlineStr">
        <is>
          <t>1</t>
        </is>
      </c>
      <c r="J88" s="6" t="inlineStr">
        <is>
          <t>2026-06-23</t>
        </is>
      </c>
      <c r="K88" s="6" t="inlineStr">
        <is>
          <t>2026-07-02</t>
        </is>
      </c>
      <c r="L88" s="6" t="inlineStr">
        <is>
          <t>14</t>
        </is>
      </c>
      <c r="M88" s="6" t="inlineStr">
        <is>
          <t>68</t>
        </is>
      </c>
      <c r="N88" s="6" t="inlineStr">
        <is>
          <t>30</t>
        </is>
      </c>
      <c r="O88" s="6" t="inlineStr">
        <is>
          <t>C-D25</t>
        </is>
      </c>
      <c r="P88" s="6" t="inlineStr">
        <is>
          <t>WARREN</t>
        </is>
      </c>
      <c r="Q88" s="6" t="inlineStr">
        <is>
          <t>11900 E 12 MILE RD STE 102, WARREN, Michigan, MI 48093</t>
        </is>
      </c>
      <c r="R88" s="6" t="inlineStr">
        <is>
          <t>Gary Mauro, DPM</t>
        </is>
      </c>
      <c r="S88" s="6" t="inlineStr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>
      <c r="A89" s="6" t="inlineStr">
        <is>
          <t>Michigan MSK Medicine - Clinton Township</t>
        </is>
      </c>
      <c r="B89" s="6" t="inlineStr">
        <is>
          <t>e2e88457-4627-4d77-a90e-00417069f605</t>
        </is>
      </c>
      <c r="C89" s="6" t="inlineStr">
        <is>
          <t>Neurology</t>
        </is>
      </c>
      <c r="D89" s="6" t="inlineStr">
        <is>
          <t>Tier 3</t>
        </is>
      </c>
      <c r="E89" s="6" t="inlineStr">
        <is>
          <t>Other Patient Referrer</t>
        </is>
      </c>
      <c r="F89" s="6" t="n">
        <v>22</v>
      </c>
      <c r="G89" s="6" t="n">
        <v>0</v>
      </c>
      <c r="H89" s="6" t="inlineStr">
        <is>
          <t>0</t>
        </is>
      </c>
      <c r="I89" s="6" t="inlineStr">
        <is>
          <t>1</t>
        </is>
      </c>
      <c r="J89" s="6" t="inlineStr">
        <is>
          <t>2026-07-09</t>
        </is>
      </c>
      <c r="K89" s="6" t="inlineStr">
        <is>
          <t>2025-05-07</t>
        </is>
      </c>
      <c r="L89" s="6" t="inlineStr">
        <is>
          <t>435</t>
        </is>
      </c>
      <c r="M89" s="6" t="inlineStr">
        <is>
          <t>428</t>
        </is>
      </c>
      <c r="N89" s="6" t="inlineStr">
        <is>
          <t>30</t>
        </is>
      </c>
      <c r="O89" s="6" t="inlineStr">
        <is>
          <t>C-D27</t>
        </is>
      </c>
      <c r="P89" s="6" t="inlineStr">
        <is>
          <t>Clinton Township</t>
        </is>
      </c>
      <c r="Q89" s="6" t="inlineStr">
        <is>
          <t>36385 Harper Ave Clinton Twp, Clinton Township, Michigan, 48035</t>
        </is>
      </c>
      <c r="R89" s="6" t="inlineStr">
        <is>
          <t>David Robert Hickling</t>
        </is>
      </c>
      <c r="S89" s="6" t="inlineStr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</row>
    <row r="90">
      <c r="A90" s="6" t="inlineStr">
        <is>
          <t>Stonebridge Orthopedics</t>
        </is>
      </c>
      <c r="B90" s="6" t="inlineStr">
        <is>
          <t>1f3f6af6-8827-4f8a-97ff-61005f2d675d</t>
        </is>
      </c>
      <c r="C90" s="6" t="inlineStr">
        <is>
          <t>Orthopedic</t>
        </is>
      </c>
      <c r="D90" s="6" t="inlineStr">
        <is>
          <t>Prospect</t>
        </is>
      </c>
      <c r="E90" s="6" t="inlineStr">
        <is>
          <t>Visit / Prospect</t>
        </is>
      </c>
      <c r="F90" s="6" t="n">
        <v>12</v>
      </c>
      <c r="G90" s="6" t="n">
        <v>0</v>
      </c>
      <c r="H90" s="6" t="inlineStr">
        <is>
          <t>0</t>
        </is>
      </c>
      <c r="I90" s="6" t="inlineStr">
        <is>
          <t>0</t>
        </is>
      </c>
      <c r="J90" s="6" t="inlineStr"/>
      <c r="K90" s="6" t="inlineStr">
        <is>
          <t>2026-07-07</t>
        </is>
      </c>
      <c r="L90" s="6" t="inlineStr">
        <is>
          <t>9</t>
        </is>
      </c>
      <c r="M90" s="6" t="n">
        <v/>
      </c>
      <c r="N90" s="6" t="inlineStr">
        <is>
          <t>45</t>
        </is>
      </c>
      <c r="O90" s="6" t="inlineStr">
        <is>
          <t>C-D07</t>
        </is>
      </c>
      <c r="P90" s="6" t="inlineStr">
        <is>
          <t>Shelby Township</t>
        </is>
      </c>
      <c r="Q90" s="6" t="inlineStr">
        <is>
          <t>13350 24 Mile Rd #700b, Shelby Township, Michigan, 48315</t>
        </is>
      </c>
      <c r="R90" s="6" t="inlineStr"/>
      <c r="S90" s="6" t="inlineStr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>
      <c r="A91" s="6" t="inlineStr">
        <is>
          <t>Neuro Pain Consultants - Sterling Heights</t>
        </is>
      </c>
      <c r="B91" s="6" t="inlineStr">
        <is>
          <t>90c163c1-4bb1-4e1f-bf4c-677df1b21c76</t>
        </is>
      </c>
      <c r="C91" s="6" t="inlineStr">
        <is>
          <t>Pain</t>
        </is>
      </c>
      <c r="D91" s="6" t="inlineStr">
        <is>
          <t>Prospect</t>
        </is>
      </c>
      <c r="E91" s="6" t="inlineStr">
        <is>
          <t>Visit / Prospect</t>
        </is>
      </c>
      <c r="F91" s="6" t="n">
        <v>12</v>
      </c>
      <c r="G91" s="6" t="n">
        <v>0</v>
      </c>
      <c r="H91" s="6" t="inlineStr">
        <is>
          <t>0</t>
        </is>
      </c>
      <c r="I91" s="6" t="inlineStr">
        <is>
          <t>0</t>
        </is>
      </c>
      <c r="J91" s="6" t="inlineStr"/>
      <c r="K91" s="6" t="inlineStr">
        <is>
          <t>2026-06-26</t>
        </is>
      </c>
      <c r="L91" s="6" t="inlineStr">
        <is>
          <t>20</t>
        </is>
      </c>
      <c r="M91" s="6" t="n">
        <v/>
      </c>
      <c r="N91" s="6" t="inlineStr">
        <is>
          <t>45</t>
        </is>
      </c>
      <c r="O91" s="6" t="inlineStr">
        <is>
          <t>C-D08</t>
        </is>
      </c>
      <c r="P91" s="6" t="inlineStr">
        <is>
          <t>Sterling Heights</t>
        </is>
      </c>
      <c r="Q91" s="6" t="inlineStr">
        <is>
          <t>13860 Canal Road, Sterling Heights, Michigan, 48313</t>
        </is>
      </c>
      <c r="R91" s="6" t="inlineStr"/>
      <c r="S91" s="6" t="inlineStr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</row>
    <row r="92">
      <c r="A92" s="6" t="inlineStr">
        <is>
          <t>Providence Family &amp; Athletic Medicine</t>
        </is>
      </c>
      <c r="B92" s="6" t="inlineStr">
        <is>
          <t>0b63a258-0396-414a-a240-3ffdff24c7d4</t>
        </is>
      </c>
      <c r="C92" s="6" t="inlineStr">
        <is>
          <t>Orthopedic</t>
        </is>
      </c>
      <c r="D92" s="6" t="inlineStr">
        <is>
          <t>Prospect</t>
        </is>
      </c>
      <c r="E92" s="6" t="inlineStr">
        <is>
          <t>Visit / Prospect</t>
        </is>
      </c>
      <c r="F92" s="6" t="n">
        <v>12</v>
      </c>
      <c r="G92" s="6" t="n">
        <v>0</v>
      </c>
      <c r="H92" s="6" t="inlineStr">
        <is>
          <t>0</t>
        </is>
      </c>
      <c r="I92" s="6" t="inlineStr">
        <is>
          <t>0</t>
        </is>
      </c>
      <c r="J92" s="6" t="inlineStr"/>
      <c r="K92" s="6" t="inlineStr">
        <is>
          <t>2026-07-16</t>
        </is>
      </c>
      <c r="L92" s="6" t="inlineStr">
        <is>
          <t>0</t>
        </is>
      </c>
      <c r="M92" s="6" t="n">
        <v/>
      </c>
      <c r="N92" s="6" t="inlineStr">
        <is>
          <t>45</t>
        </is>
      </c>
      <c r="O92" s="6" t="inlineStr">
        <is>
          <t>C-D09</t>
        </is>
      </c>
      <c r="P92" s="6" t="inlineStr">
        <is>
          <t>Milford</t>
        </is>
      </c>
      <c r="Q92" s="6" t="inlineStr">
        <is>
          <t>1050 Corporate Office Dr, Milford, Michigan, 48381</t>
        </is>
      </c>
      <c r="R92" s="6" t="inlineStr"/>
      <c r="S92" s="6" t="inlineStr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>
      <c r="A93" s="6" t="inlineStr">
        <is>
          <t>Detroit Ortho Institute</t>
        </is>
      </c>
      <c r="B93" s="6" t="inlineStr">
        <is>
          <t>ac4e9d72-9d61-4d13-85ef-1d7c26ded0b6</t>
        </is>
      </c>
      <c r="C93" s="6" t="inlineStr">
        <is>
          <t>Orthopedic</t>
        </is>
      </c>
      <c r="D93" s="6" t="inlineStr">
        <is>
          <t>Prospect</t>
        </is>
      </c>
      <c r="E93" s="6" t="inlineStr">
        <is>
          <t>Visit / Prospect</t>
        </is>
      </c>
      <c r="F93" s="6" t="n">
        <v>12</v>
      </c>
      <c r="G93" s="6" t="n">
        <v>0</v>
      </c>
      <c r="H93" s="6" t="inlineStr">
        <is>
          <t>0</t>
        </is>
      </c>
      <c r="I93" s="6" t="inlineStr">
        <is>
          <t>0</t>
        </is>
      </c>
      <c r="J93" s="6" t="inlineStr"/>
      <c r="K93" s="6" t="inlineStr">
        <is>
          <t>2026-07-01</t>
        </is>
      </c>
      <c r="L93" s="6" t="inlineStr">
        <is>
          <t>15</t>
        </is>
      </c>
      <c r="M93" s="6" t="n">
        <v/>
      </c>
      <c r="N93" s="6" t="inlineStr">
        <is>
          <t>45</t>
        </is>
      </c>
      <c r="O93" s="6" t="inlineStr">
        <is>
          <t>C-D14</t>
        </is>
      </c>
      <c r="P93" s="6" t="inlineStr">
        <is>
          <t>Troy</t>
        </is>
      </c>
      <c r="Q93" s="6" t="inlineStr">
        <is>
          <t>1560 East Maple Road, Troy, Michigan, 48083</t>
        </is>
      </c>
      <c r="R93" s="6" t="inlineStr"/>
      <c r="S93" s="6" t="inlineStr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</row>
    <row r="94">
      <c r="A94" s="6" t="inlineStr">
        <is>
          <t>Somerset Pain Clinic</t>
        </is>
      </c>
      <c r="B94" s="6" t="inlineStr">
        <is>
          <t>757d3ce3-93ba-4245-a84e-b14851bfe2e7</t>
        </is>
      </c>
      <c r="C94" s="6" t="inlineStr">
        <is>
          <t>Pain</t>
        </is>
      </c>
      <c r="D94" s="6" t="inlineStr">
        <is>
          <t>Prospect</t>
        </is>
      </c>
      <c r="E94" s="6" t="inlineStr">
        <is>
          <t>Visit / Prospect</t>
        </is>
      </c>
      <c r="F94" s="6" t="n">
        <v>12</v>
      </c>
      <c r="G94" s="6" t="n">
        <v>0</v>
      </c>
      <c r="H94" s="6" t="inlineStr">
        <is>
          <t>0</t>
        </is>
      </c>
      <c r="I94" s="6" t="inlineStr">
        <is>
          <t>0</t>
        </is>
      </c>
      <c r="J94" s="6" t="inlineStr"/>
      <c r="K94" s="6" t="inlineStr">
        <is>
          <t>2026-06-29</t>
        </is>
      </c>
      <c r="L94" s="6" t="inlineStr">
        <is>
          <t>17</t>
        </is>
      </c>
      <c r="M94" s="6" t="n">
        <v/>
      </c>
      <c r="N94" s="6" t="inlineStr">
        <is>
          <t>45</t>
        </is>
      </c>
      <c r="O94" s="6" t="inlineStr">
        <is>
          <t>C-D15</t>
        </is>
      </c>
      <c r="P94" s="6" t="inlineStr">
        <is>
          <t>Troy</t>
        </is>
      </c>
      <c r="Q94" s="6" t="inlineStr">
        <is>
          <t>888 W Big Beaver Rd suite 309, Troy, Michigan, 48084</t>
        </is>
      </c>
      <c r="R94" s="6" t="inlineStr"/>
      <c r="S94" s="6" t="inlineStr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>
      <c r="A95" s="6" t="inlineStr">
        <is>
          <t>Mathews Medical Center</t>
        </is>
      </c>
      <c r="B95" s="6" t="inlineStr">
        <is>
          <t>1558461392</t>
        </is>
      </c>
      <c r="C95" s="6" t="inlineStr">
        <is>
          <t>Orthopedic</t>
        </is>
      </c>
      <c r="D95" s="6" t="inlineStr">
        <is>
          <t>Prospect</t>
        </is>
      </c>
      <c r="E95" s="6" t="inlineStr">
        <is>
          <t>Visit / Prospect</t>
        </is>
      </c>
      <c r="F95" s="6" t="n">
        <v>12</v>
      </c>
      <c r="G95" s="6" t="n">
        <v>0</v>
      </c>
      <c r="H95" s="6" t="inlineStr">
        <is>
          <t>0</t>
        </is>
      </c>
      <c r="I95" s="6" t="inlineStr">
        <is>
          <t>0</t>
        </is>
      </c>
      <c r="J95" s="6" t="inlineStr"/>
      <c r="K95" s="6" t="inlineStr">
        <is>
          <t>2026-07-01</t>
        </is>
      </c>
      <c r="L95" s="6" t="inlineStr">
        <is>
          <t>15</t>
        </is>
      </c>
      <c r="M95" s="6" t="n">
        <v/>
      </c>
      <c r="N95" s="6" t="inlineStr">
        <is>
          <t>45</t>
        </is>
      </c>
      <c r="O95" s="6" t="inlineStr">
        <is>
          <t>C-D15</t>
        </is>
      </c>
      <c r="P95" s="6" t="inlineStr">
        <is>
          <t>Troy</t>
        </is>
      </c>
      <c r="Q95" s="6" t="inlineStr">
        <is>
          <t>2221 Livernois Rd, ste 100, Troy, MI, 48083</t>
        </is>
      </c>
      <c r="R95" s="6" t="inlineStr"/>
      <c r="S95" s="6" t="inlineStr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</row>
    <row r="96">
      <c r="A96" s="6" t="inlineStr">
        <is>
          <t>Regenerative Pain Medicine</t>
        </is>
      </c>
      <c r="B96" s="6" t="inlineStr">
        <is>
          <t>736da453-396a-4f87-95aa-9798465f42b6</t>
        </is>
      </c>
      <c r="C96" s="6" t="inlineStr">
        <is>
          <t>Pain</t>
        </is>
      </c>
      <c r="D96" s="6" t="inlineStr">
        <is>
          <t>Prospect</t>
        </is>
      </c>
      <c r="E96" s="6" t="inlineStr">
        <is>
          <t>Visit / Prospect</t>
        </is>
      </c>
      <c r="F96" s="6" t="n">
        <v>12</v>
      </c>
      <c r="G96" s="6" t="n">
        <v>0</v>
      </c>
      <c r="H96" s="6" t="inlineStr">
        <is>
          <t>0</t>
        </is>
      </c>
      <c r="I96" s="6" t="inlineStr">
        <is>
          <t>0</t>
        </is>
      </c>
      <c r="J96" s="6" t="inlineStr"/>
      <c r="K96" s="6" t="inlineStr">
        <is>
          <t>2026-07-01</t>
        </is>
      </c>
      <c r="L96" s="6" t="inlineStr">
        <is>
          <t>15</t>
        </is>
      </c>
      <c r="M96" s="6" t="n">
        <v/>
      </c>
      <c r="N96" s="6" t="inlineStr">
        <is>
          <t>45</t>
        </is>
      </c>
      <c r="O96" s="6" t="inlineStr">
        <is>
          <t>C-D16</t>
        </is>
      </c>
      <c r="P96" s="6" t="inlineStr">
        <is>
          <t>Troy</t>
        </is>
      </c>
      <c r="Q96" s="6" t="inlineStr">
        <is>
          <t>1560 East Maple Road, Troy, Michigan, 48083</t>
        </is>
      </c>
      <c r="R96" s="6" t="inlineStr"/>
      <c r="S96" s="6" t="inlineStr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>
      <c r="A97" s="6" t="inlineStr">
        <is>
          <t>TRI COUNTY ORTHOPEDICS, PC</t>
        </is>
      </c>
      <c r="B97" s="6" t="inlineStr">
        <is>
          <t>4f46bff0-0295-445e-980a-51107f04dbb9</t>
        </is>
      </c>
      <c r="C97" s="6" t="inlineStr">
        <is>
          <t>Orthopedic</t>
        </is>
      </c>
      <c r="D97" s="6" t="inlineStr">
        <is>
          <t>Prospect</t>
        </is>
      </c>
      <c r="E97" s="6" t="inlineStr">
        <is>
          <t>Visit / Prospect</t>
        </is>
      </c>
      <c r="F97" s="6" t="n">
        <v>12</v>
      </c>
      <c r="G97" s="6" t="n">
        <v>0</v>
      </c>
      <c r="H97" s="6" t="inlineStr">
        <is>
          <t>0</t>
        </is>
      </c>
      <c r="I97" s="6" t="inlineStr">
        <is>
          <t>0</t>
        </is>
      </c>
      <c r="J97" s="6" t="inlineStr"/>
      <c r="K97" s="6" t="inlineStr">
        <is>
          <t>2026-07-08</t>
        </is>
      </c>
      <c r="L97" s="6" t="inlineStr">
        <is>
          <t>8</t>
        </is>
      </c>
      <c r="M97" s="6" t="n">
        <v/>
      </c>
      <c r="N97" s="6" t="inlineStr">
        <is>
          <t>45</t>
        </is>
      </c>
      <c r="O97" s="6" t="inlineStr">
        <is>
          <t>C-D17</t>
        </is>
      </c>
      <c r="P97" s="6" t="inlineStr">
        <is>
          <t>FARMINGTON HILLS</t>
        </is>
      </c>
      <c r="Q97" s="6" t="inlineStr">
        <is>
          <t>28100 GRAND RIVER AVE STE 209, FARMINGTON HILLS, MI, 48336</t>
        </is>
      </c>
      <c r="R97" s="6" t="inlineStr"/>
      <c r="S97" s="6" t="inlineStr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</row>
    <row r="98">
      <c r="A98" s="6" t="inlineStr">
        <is>
          <t>GREAT LAKES ORTHOPAEDICS</t>
        </is>
      </c>
      <c r="B98" s="6" t="inlineStr">
        <is>
          <t>922579af-76c0-4a24-bd38-5e88491cece1</t>
        </is>
      </c>
      <c r="C98" s="6" t="inlineStr">
        <is>
          <t>Orthopedic</t>
        </is>
      </c>
      <c r="D98" s="6" t="inlineStr">
        <is>
          <t>Prospect</t>
        </is>
      </c>
      <c r="E98" s="6" t="inlineStr">
        <is>
          <t>Visit / Prospect</t>
        </is>
      </c>
      <c r="F98" s="6" t="n">
        <v>12</v>
      </c>
      <c r="G98" s="6" t="n">
        <v>0</v>
      </c>
      <c r="H98" s="6" t="inlineStr">
        <is>
          <t>0</t>
        </is>
      </c>
      <c r="I98" s="6" t="inlineStr">
        <is>
          <t>0</t>
        </is>
      </c>
      <c r="J98" s="6" t="inlineStr"/>
      <c r="K98" s="6" t="inlineStr">
        <is>
          <t>2026-07-14</t>
        </is>
      </c>
      <c r="L98" s="6" t="inlineStr">
        <is>
          <t>2</t>
        </is>
      </c>
      <c r="M98" s="6" t="n">
        <v/>
      </c>
      <c r="N98" s="6" t="inlineStr">
        <is>
          <t>45</t>
        </is>
      </c>
      <c r="O98" s="6" t="inlineStr">
        <is>
          <t>C-D17</t>
        </is>
      </c>
      <c r="P98" s="6" t="inlineStr">
        <is>
          <t>GARDEN CITY</t>
        </is>
      </c>
      <c r="Q98" s="6" t="inlineStr">
        <is>
          <t>6255 INKSTER RD STE 103, GARDEN CITY, MI, 48135</t>
        </is>
      </c>
      <c r="R98" s="6" t="inlineStr"/>
      <c r="S98" s="6" t="inlineStr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>
      <c r="A99" s="6" t="inlineStr">
        <is>
          <t>Specialists in Spine Surgery - Garden City</t>
        </is>
      </c>
      <c r="B99" s="6" t="inlineStr">
        <is>
          <t>15d2de97-a164-4b7e-a3a2-15673271319b</t>
        </is>
      </c>
      <c r="C99" s="6" t="inlineStr">
        <is>
          <t>Orthopedic</t>
        </is>
      </c>
      <c r="D99" s="6" t="inlineStr">
        <is>
          <t>Prospect</t>
        </is>
      </c>
      <c r="E99" s="6" t="inlineStr">
        <is>
          <t>Visit / Prospect</t>
        </is>
      </c>
      <c r="F99" s="6" t="n">
        <v>12</v>
      </c>
      <c r="G99" s="6" t="n">
        <v>0</v>
      </c>
      <c r="H99" s="6" t="inlineStr">
        <is>
          <t>0</t>
        </is>
      </c>
      <c r="I99" s="6" t="inlineStr">
        <is>
          <t>0</t>
        </is>
      </c>
      <c r="J99" s="6" t="inlineStr"/>
      <c r="K99" s="6" t="inlineStr">
        <is>
          <t>2026-07-14</t>
        </is>
      </c>
      <c r="L99" s="6" t="inlineStr">
        <is>
          <t>2</t>
        </is>
      </c>
      <c r="M99" s="6" t="n">
        <v/>
      </c>
      <c r="N99" s="6" t="inlineStr">
        <is>
          <t>45</t>
        </is>
      </c>
      <c r="O99" s="6" t="inlineStr">
        <is>
          <t>C-D17</t>
        </is>
      </c>
      <c r="P99" s="6" t="inlineStr">
        <is>
          <t>Garden City</t>
        </is>
      </c>
      <c r="Q99" s="6" t="inlineStr">
        <is>
          <t>6255 Inkster Rd ste 204, Garden City, Michigan, 48135</t>
        </is>
      </c>
      <c r="R99" s="6" t="inlineStr"/>
      <c r="S99" s="6" t="inlineStr">
        <is>
          <t>Ortho group w/ in-house spine? verify (Jul 20 rule) → Review for removal</t>
        </is>
      </c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</row>
    <row r="100">
      <c r="A100" s="6" t="inlineStr">
        <is>
          <t>University Orthopedic Specialists</t>
        </is>
      </c>
      <c r="B100" s="6" t="inlineStr">
        <is>
          <t>1790722338</t>
        </is>
      </c>
      <c r="C100" s="6" t="inlineStr">
        <is>
          <t>Orthopedic</t>
        </is>
      </c>
      <c r="D100" s="6" t="inlineStr">
        <is>
          <t>Prospect</t>
        </is>
      </c>
      <c r="E100" s="6" t="inlineStr">
        <is>
          <t>Visit / Prospect</t>
        </is>
      </c>
      <c r="F100" s="6" t="n">
        <v>12</v>
      </c>
      <c r="G100" s="6" t="n">
        <v>0</v>
      </c>
      <c r="H100" s="6" t="inlineStr">
        <is>
          <t>0</t>
        </is>
      </c>
      <c r="I100" s="6" t="inlineStr">
        <is>
          <t>0</t>
        </is>
      </c>
      <c r="J100" s="6" t="inlineStr"/>
      <c r="K100" s="6" t="inlineStr">
        <is>
          <t>2026-07-06</t>
        </is>
      </c>
      <c r="L100" s="6" t="inlineStr">
        <is>
          <t>10</t>
        </is>
      </c>
      <c r="M100" s="6" t="n">
        <v/>
      </c>
      <c r="N100" s="6" t="inlineStr">
        <is>
          <t>45</t>
        </is>
      </c>
      <c r="O100" s="6" t="inlineStr">
        <is>
          <t>C-D19</t>
        </is>
      </c>
      <c r="P100" s="6" t="inlineStr">
        <is>
          <t>Rochester</t>
        </is>
      </c>
      <c r="Q100" s="6" t="inlineStr">
        <is>
          <t>1135 West University, ste 450, Rochester, MI, 48307</t>
        </is>
      </c>
      <c r="R100" s="6" t="inlineStr"/>
      <c r="S100" s="6" t="inlineStr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>
      <c r="A101" s="6" t="inlineStr">
        <is>
          <t>Jagannathan Neurosurgery</t>
        </is>
      </c>
      <c r="B101" s="6" t="inlineStr">
        <is>
          <t>e2adce18-6952-46db-aa54-11f8ab08f2f9</t>
        </is>
      </c>
      <c r="C101" s="6" t="inlineStr">
        <is>
          <t>Orthopedic</t>
        </is>
      </c>
      <c r="D101" s="6" t="inlineStr">
        <is>
          <t>Prospect</t>
        </is>
      </c>
      <c r="E101" s="6" t="inlineStr">
        <is>
          <t>Visit / Prospect</t>
        </is>
      </c>
      <c r="F101" s="6" t="n">
        <v>12</v>
      </c>
      <c r="G101" s="6" t="n">
        <v>0</v>
      </c>
      <c r="H101" s="6" t="inlineStr">
        <is>
          <t>0</t>
        </is>
      </c>
      <c r="I101" s="6" t="inlineStr">
        <is>
          <t>0</t>
        </is>
      </c>
      <c r="J101" s="6" t="inlineStr"/>
      <c r="K101" s="6" t="inlineStr">
        <is>
          <t>2026-07-13</t>
        </is>
      </c>
      <c r="L101" s="6" t="inlineStr">
        <is>
          <t>3</t>
        </is>
      </c>
      <c r="M101" s="6" t="n">
        <v/>
      </c>
      <c r="N101" s="6" t="inlineStr">
        <is>
          <t>45</t>
        </is>
      </c>
      <c r="O101" s="6" t="inlineStr">
        <is>
          <t>C-D26</t>
        </is>
      </c>
      <c r="P101" s="6" t="inlineStr">
        <is>
          <t>Troy</t>
        </is>
      </c>
      <c r="Q101" s="6" t="inlineStr">
        <is>
          <t>3290 W Big Beaver Rd ste 150, Troy, Michigan, 48084</t>
        </is>
      </c>
      <c r="R101" s="6" t="inlineStr"/>
      <c r="S101" s="6" t="inlineStr">
        <is>
          <t>Neurosurgeon unlikely to cross-refer (Jul 20 rule) → Review for removal</t>
        </is>
      </c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</row>
    <row r="102">
      <c r="A102" s="6" t="inlineStr">
        <is>
          <t>Neuro Pain Consultants - Clarkston</t>
        </is>
      </c>
      <c r="B102" s="6" t="inlineStr">
        <is>
          <t>5b59e6a5-ab8d-42e9-9ee3-60672d731b66</t>
        </is>
      </c>
      <c r="C102" s="6" t="inlineStr">
        <is>
          <t>Pain</t>
        </is>
      </c>
      <c r="D102" s="6" t="inlineStr">
        <is>
          <t>Prospect</t>
        </is>
      </c>
      <c r="E102" s="6" t="inlineStr">
        <is>
          <t>Visit / Prospect</t>
        </is>
      </c>
      <c r="F102" s="6" t="n">
        <v>12</v>
      </c>
      <c r="G102" s="6" t="n">
        <v>0</v>
      </c>
      <c r="H102" s="6" t="inlineStr">
        <is>
          <t>0</t>
        </is>
      </c>
      <c r="I102" s="6" t="inlineStr">
        <is>
          <t>0</t>
        </is>
      </c>
      <c r="J102" s="6" t="inlineStr"/>
      <c r="K102" s="6" t="inlineStr">
        <is>
          <t>2026-07-07</t>
        </is>
      </c>
      <c r="L102" s="6" t="inlineStr">
        <is>
          <t>9</t>
        </is>
      </c>
      <c r="M102" s="6" t="n">
        <v/>
      </c>
      <c r="N102" s="6" t="inlineStr">
        <is>
          <t>45</t>
        </is>
      </c>
      <c r="O102" s="6" t="inlineStr">
        <is>
          <t>C-D28</t>
        </is>
      </c>
      <c r="P102" s="6" t="inlineStr">
        <is>
          <t>City of the Village of Clarkston</t>
        </is>
      </c>
      <c r="Q102" s="6" t="inlineStr">
        <is>
          <t>5701 Bow Pointe Dr suite 305, City of the Village of Clarkston, Michigan, 48346</t>
        </is>
      </c>
      <c r="R102" s="6" t="inlineStr"/>
      <c r="S102" s="6" t="inlineStr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>
      <c r="A103" s="6" t="inlineStr">
        <is>
          <t>Family Medicine</t>
        </is>
      </c>
      <c r="B103" s="6" t="inlineStr">
        <is>
          <t>43229ddf-0bb2-45ab-8aa8-3cb4f6b0d51f</t>
        </is>
      </c>
      <c r="C103" s="6" t="inlineStr">
        <is>
          <t>Orthopedic</t>
        </is>
      </c>
      <c r="D103" s="6" t="inlineStr">
        <is>
          <t>Prospect</t>
        </is>
      </c>
      <c r="E103" s="6" t="inlineStr">
        <is>
          <t>Visit / Prospect</t>
        </is>
      </c>
      <c r="F103" s="6" t="n">
        <v>12</v>
      </c>
      <c r="G103" s="6" t="n">
        <v>0</v>
      </c>
      <c r="H103" s="6" t="inlineStr">
        <is>
          <t>0</t>
        </is>
      </c>
      <c r="I103" s="6" t="inlineStr">
        <is>
          <t>0</t>
        </is>
      </c>
      <c r="J103" s="6" t="inlineStr"/>
      <c r="K103" s="6" t="inlineStr">
        <is>
          <t>2026-07-14</t>
        </is>
      </c>
      <c r="L103" s="6" t="inlineStr">
        <is>
          <t>2</t>
        </is>
      </c>
      <c r="M103" s="6" t="n">
        <v/>
      </c>
      <c r="N103" s="6" t="inlineStr">
        <is>
          <t>45</t>
        </is>
      </c>
      <c r="O103" s="6" t="inlineStr">
        <is>
          <t>C-D29</t>
        </is>
      </c>
      <c r="P103" s="6" t="inlineStr">
        <is>
          <t>Allen Park</t>
        </is>
      </c>
      <c r="Q103" s="6" t="inlineStr">
        <is>
          <t>14825 Southfield Road, Allen Park, Michigan, 48101</t>
        </is>
      </c>
      <c r="R103" s="6" t="inlineStr"/>
      <c r="S103" s="6" t="inlineStr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</row>
    <row r="104">
      <c r="A104" s="6" t="inlineStr">
        <is>
          <t>Premier Orthopedics</t>
        </is>
      </c>
      <c r="B104" s="6" t="inlineStr">
        <is>
          <t>a4109cc4-88be-479e-bcaa-312214bfbf13</t>
        </is>
      </c>
      <c r="C104" s="6" t="inlineStr">
        <is>
          <t>Orthopedic</t>
        </is>
      </c>
      <c r="D104" s="6" t="inlineStr">
        <is>
          <t>Prospect</t>
        </is>
      </c>
      <c r="E104" s="6" t="inlineStr">
        <is>
          <t>Visit / Prospect</t>
        </is>
      </c>
      <c r="F104" s="6" t="n">
        <v>12</v>
      </c>
      <c r="G104" s="6" t="n">
        <v>0</v>
      </c>
      <c r="H104" s="6" t="inlineStr">
        <is>
          <t>0</t>
        </is>
      </c>
      <c r="I104" s="6" t="inlineStr">
        <is>
          <t>0</t>
        </is>
      </c>
      <c r="J104" s="6" t="inlineStr"/>
      <c r="K104" s="6" t="inlineStr">
        <is>
          <t>2026-07-14</t>
        </is>
      </c>
      <c r="L104" s="6" t="inlineStr">
        <is>
          <t>2</t>
        </is>
      </c>
      <c r="M104" s="6" t="n">
        <v/>
      </c>
      <c r="N104" s="6" t="inlineStr">
        <is>
          <t>45</t>
        </is>
      </c>
      <c r="O104" s="6" t="inlineStr">
        <is>
          <t>C-D29</t>
        </is>
      </c>
      <c r="P104" s="6" t="inlineStr">
        <is>
          <t>Dearborn</t>
        </is>
      </c>
      <c r="Q104" s="6" t="inlineStr">
        <is>
          <t>17000 Executive Plaza Drive, Dearborn, Michigan, 48126</t>
        </is>
      </c>
      <c r="R104" s="6" t="inlineStr"/>
      <c r="S104" s="6" t="inlineStr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>
      <c r="A105" s="6" t="inlineStr">
        <is>
          <t>ANDERSON SPORTS MEDICINE</t>
        </is>
      </c>
      <c r="B105" s="6" t="inlineStr">
        <is>
          <t>07836153-8b05-4813-a230-a23fa3d07818</t>
        </is>
      </c>
      <c r="C105" s="6" t="inlineStr">
        <is>
          <t>Orthopedic</t>
        </is>
      </c>
      <c r="D105" s="6" t="inlineStr">
        <is>
          <t>Prospect</t>
        </is>
      </c>
      <c r="E105" s="6" t="inlineStr">
        <is>
          <t>Visit / Prospect</t>
        </is>
      </c>
      <c r="F105" s="6" t="n">
        <v>12</v>
      </c>
      <c r="G105" s="6" t="n">
        <v>0</v>
      </c>
      <c r="H105" s="6" t="inlineStr">
        <is>
          <t>0</t>
        </is>
      </c>
      <c r="I105" s="6" t="inlineStr">
        <is>
          <t>0</t>
        </is>
      </c>
      <c r="J105" s="6" t="inlineStr"/>
      <c r="K105" s="6" t="inlineStr">
        <is>
          <t>2026-07-08</t>
        </is>
      </c>
      <c r="L105" s="6" t="inlineStr">
        <is>
          <t>8</t>
        </is>
      </c>
      <c r="M105" s="6" t="n">
        <v/>
      </c>
      <c r="N105" s="6" t="inlineStr">
        <is>
          <t>45</t>
        </is>
      </c>
      <c r="O105" s="6" t="inlineStr">
        <is>
          <t>C-D31</t>
        </is>
      </c>
      <c r="P105" s="6" t="inlineStr">
        <is>
          <t>Bingham Farms</t>
        </is>
      </c>
      <c r="Q105" s="6" t="inlineStr">
        <is>
          <t>32270 Telegraph Road, ste 220B, Bingham Farms, Michigan, 48025</t>
        </is>
      </c>
      <c r="R105" s="6" t="inlineStr"/>
      <c r="S105" s="6" t="inlineStr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</row>
    <row r="106">
      <c r="A106" s="6" t="inlineStr">
        <is>
          <t>Somerset Family Medicine - Sterling Heights</t>
        </is>
      </c>
      <c r="B106" s="6" t="inlineStr">
        <is>
          <t>1386634632</t>
        </is>
      </c>
      <c r="C106" s="6" t="inlineStr">
        <is>
          <t>PCP</t>
        </is>
      </c>
      <c r="D106" s="6" t="inlineStr">
        <is>
          <t>Prospect</t>
        </is>
      </c>
      <c r="E106" s="6" t="inlineStr">
        <is>
          <t>Visit / Prospect</t>
        </is>
      </c>
      <c r="F106" s="6" t="n">
        <v>11</v>
      </c>
      <c r="G106" s="6" t="n">
        <v>0</v>
      </c>
      <c r="H106" s="6" t="inlineStr">
        <is>
          <t>0</t>
        </is>
      </c>
      <c r="I106" s="6" t="inlineStr">
        <is>
          <t>0</t>
        </is>
      </c>
      <c r="J106" s="6" t="inlineStr"/>
      <c r="K106" s="6" t="inlineStr">
        <is>
          <t>2026-07-02</t>
        </is>
      </c>
      <c r="L106" s="6" t="inlineStr">
        <is>
          <t>14</t>
        </is>
      </c>
      <c r="M106" s="6" t="n">
        <v/>
      </c>
      <c r="N106" s="6" t="inlineStr">
        <is>
          <t>45</t>
        </is>
      </c>
      <c r="O106" s="6" t="inlineStr">
        <is>
          <t>C-D01</t>
        </is>
      </c>
      <c r="P106" s="6" t="inlineStr">
        <is>
          <t>Sterling Heights</t>
        </is>
      </c>
      <c r="Q106" s="6" t="inlineStr">
        <is>
          <t>36950 Ryan Rd, Sterling Heights, MI, 48310</t>
        </is>
      </c>
      <c r="R106" s="6" t="inlineStr"/>
      <c r="S106" s="6" t="inlineStr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>
      <c r="A107" s="6" t="inlineStr">
        <is>
          <t>New Baltimore Family Practice - Chesterfield</t>
        </is>
      </c>
      <c r="B107" s="6" t="inlineStr">
        <is>
          <t>2ba1a5d9-5a5a-4766-a10b-12e037375a67</t>
        </is>
      </c>
      <c r="C107" s="6" t="inlineStr">
        <is>
          <t>PCP</t>
        </is>
      </c>
      <c r="D107" s="6" t="inlineStr">
        <is>
          <t>Prospect</t>
        </is>
      </c>
      <c r="E107" s="6" t="inlineStr">
        <is>
          <t>Visit / Prospect</t>
        </is>
      </c>
      <c r="F107" s="6" t="n">
        <v>11</v>
      </c>
      <c r="G107" s="6" t="n">
        <v>0</v>
      </c>
      <c r="H107" s="6" t="inlineStr">
        <is>
          <t>0</t>
        </is>
      </c>
      <c r="I107" s="6" t="inlineStr">
        <is>
          <t>0</t>
        </is>
      </c>
      <c r="J107" s="6" t="inlineStr"/>
      <c r="K107" s="6" t="inlineStr">
        <is>
          <t>2026-06-30</t>
        </is>
      </c>
      <c r="L107" s="6" t="inlineStr">
        <is>
          <t>16</t>
        </is>
      </c>
      <c r="M107" s="6" t="n">
        <v/>
      </c>
      <c r="N107" s="6" t="inlineStr">
        <is>
          <t>45</t>
        </is>
      </c>
      <c r="O107" s="6" t="inlineStr">
        <is>
          <t>C-D02</t>
        </is>
      </c>
      <c r="P107" s="6" t="inlineStr">
        <is>
          <t>New Baltimore</t>
        </is>
      </c>
      <c r="Q107" s="6" t="inlineStr">
        <is>
          <t>36750 26 Mile Rd, ste 220, New Baltimore, Michigan, 48047</t>
        </is>
      </c>
      <c r="R107" s="6" t="inlineStr"/>
      <c r="S107" s="6" t="inlineStr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</row>
    <row r="108">
      <c r="A108" s="6" t="inlineStr">
        <is>
          <t>Macomb Family Medicine (Henry Ford) - Chesterfield</t>
        </is>
      </c>
      <c r="B108" s="6" t="inlineStr">
        <is>
          <t>b9b7ff1f-a14b-4733-af73-e7371152c69a</t>
        </is>
      </c>
      <c r="C108" s="6" t="inlineStr">
        <is>
          <t>PCP</t>
        </is>
      </c>
      <c r="D108" s="6" t="inlineStr">
        <is>
          <t>Prospect</t>
        </is>
      </c>
      <c r="E108" s="6" t="inlineStr">
        <is>
          <t>Visit / Prospect</t>
        </is>
      </c>
      <c r="F108" s="6" t="n">
        <v>11</v>
      </c>
      <c r="G108" s="6" t="n">
        <v>0</v>
      </c>
      <c r="H108" s="6" t="inlineStr">
        <is>
          <t>0</t>
        </is>
      </c>
      <c r="I108" s="6" t="inlineStr">
        <is>
          <t>0</t>
        </is>
      </c>
      <c r="J108" s="6" t="inlineStr"/>
      <c r="K108" s="6" t="inlineStr">
        <is>
          <t>2026-06-30</t>
        </is>
      </c>
      <c r="L108" s="6" t="inlineStr">
        <is>
          <t>16</t>
        </is>
      </c>
      <c r="M108" s="6" t="n">
        <v/>
      </c>
      <c r="N108" s="6" t="inlineStr">
        <is>
          <t>45</t>
        </is>
      </c>
      <c r="O108" s="6" t="inlineStr">
        <is>
          <t>C-D02</t>
        </is>
      </c>
      <c r="P108" s="6" t="inlineStr">
        <is>
          <t>Chesterfield</t>
        </is>
      </c>
      <c r="Q108" s="6" t="inlineStr">
        <is>
          <t>36750 26 Mile Rd, ste 230, Chesterfield, Michigan, 48047</t>
        </is>
      </c>
      <c r="R108" s="6" t="inlineStr"/>
      <c r="S108" s="6" t="inlineStr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>
      <c r="A109" s="6" t="inlineStr">
        <is>
          <t>Pulse Primary Care - Lenox</t>
        </is>
      </c>
      <c r="B109" s="6" t="inlineStr">
        <is>
          <t>16bc4052-1b0d-46cc-8fe0-6c700c988b44</t>
        </is>
      </c>
      <c r="C109" s="6" t="inlineStr">
        <is>
          <t>PCP</t>
        </is>
      </c>
      <c r="D109" s="6" t="inlineStr">
        <is>
          <t>Prospect</t>
        </is>
      </c>
      <c r="E109" s="6" t="inlineStr">
        <is>
          <t>Visit / Prospect</t>
        </is>
      </c>
      <c r="F109" s="6" t="n">
        <v>11</v>
      </c>
      <c r="G109" s="6" t="n">
        <v>0</v>
      </c>
      <c r="H109" s="6" t="inlineStr">
        <is>
          <t>0</t>
        </is>
      </c>
      <c r="I109" s="6" t="inlineStr">
        <is>
          <t>0</t>
        </is>
      </c>
      <c r="J109" s="6" t="inlineStr"/>
      <c r="K109" s="6" t="inlineStr">
        <is>
          <t>2026-06-30</t>
        </is>
      </c>
      <c r="L109" s="6" t="inlineStr">
        <is>
          <t>16</t>
        </is>
      </c>
      <c r="M109" s="6" t="n">
        <v/>
      </c>
      <c r="N109" s="6" t="inlineStr">
        <is>
          <t>45</t>
        </is>
      </c>
      <c r="O109" s="6" t="inlineStr">
        <is>
          <t>C-D02</t>
        </is>
      </c>
      <c r="P109" s="6" t="inlineStr">
        <is>
          <t>Lenox</t>
        </is>
      </c>
      <c r="Q109" s="6" t="inlineStr">
        <is>
          <t>36555 26 Mile Rd suite 3600, Lenox, Michigan, 48048</t>
        </is>
      </c>
      <c r="R109" s="6" t="inlineStr"/>
      <c r="S109" s="6" t="inlineStr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</row>
    <row r="110">
      <c r="A110" s="6" t="inlineStr">
        <is>
          <t>Michigan Surgery Specialists  - Roseville</t>
        </is>
      </c>
      <c r="B110" s="6" t="inlineStr">
        <is>
          <t>a978aadc-a7c9-40f6-be36-465720a638af</t>
        </is>
      </c>
      <c r="C110" s="6" t="inlineStr">
        <is>
          <t>Orthopedic</t>
        </is>
      </c>
      <c r="D110" s="6" t="inlineStr">
        <is>
          <t>Prospect</t>
        </is>
      </c>
      <c r="E110" s="6" t="inlineStr">
        <is>
          <t>Visit / Prospect</t>
        </is>
      </c>
      <c r="F110" s="6" t="n">
        <v>11</v>
      </c>
      <c r="G110" s="6" t="n">
        <v>0</v>
      </c>
      <c r="H110" s="6" t="inlineStr">
        <is>
          <t>0</t>
        </is>
      </c>
      <c r="I110" s="6" t="inlineStr">
        <is>
          <t>0</t>
        </is>
      </c>
      <c r="J110" s="6" t="inlineStr"/>
      <c r="K110" s="6" t="inlineStr">
        <is>
          <t>2026-07-07</t>
        </is>
      </c>
      <c r="L110" s="6" t="inlineStr">
        <is>
          <t>9</t>
        </is>
      </c>
      <c r="M110" s="6" t="n">
        <v/>
      </c>
      <c r="N110" s="6" t="inlineStr">
        <is>
          <t>45</t>
        </is>
      </c>
      <c r="O110" s="6" t="inlineStr">
        <is>
          <t>C-D05</t>
        </is>
      </c>
      <c r="P110" s="6" t="inlineStr">
        <is>
          <t>Roseville</t>
        </is>
      </c>
      <c r="Q110" s="6" t="inlineStr">
        <is>
          <t>18425 East 10 Mile Road, ste 130, Roseville, Michigan, 48066</t>
        </is>
      </c>
      <c r="R110" s="6" t="inlineStr"/>
      <c r="S110" s="6" t="inlineStr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>
      <c r="A111" s="6" t="inlineStr">
        <is>
          <t>Associated Orthopedists of Detroit-St Clair Shores</t>
        </is>
      </c>
      <c r="B111" s="6" t="inlineStr">
        <is>
          <t>4522f3c1-4822-4912-a5d5-f88809b8ea59</t>
        </is>
      </c>
      <c r="C111" s="6" t="inlineStr">
        <is>
          <t>Orthopedic</t>
        </is>
      </c>
      <c r="D111" s="6" t="inlineStr">
        <is>
          <t>Prospect</t>
        </is>
      </c>
      <c r="E111" s="6" t="inlineStr">
        <is>
          <t>Visit / Prospect</t>
        </is>
      </c>
      <c r="F111" s="6" t="n">
        <v>11</v>
      </c>
      <c r="G111" s="6" t="n">
        <v>0</v>
      </c>
      <c r="H111" s="6" t="inlineStr">
        <is>
          <t>0</t>
        </is>
      </c>
      <c r="I111" s="6" t="inlineStr">
        <is>
          <t>0</t>
        </is>
      </c>
      <c r="J111" s="6" t="inlineStr"/>
      <c r="K111" s="6" t="inlineStr">
        <is>
          <t>2026-06-18</t>
        </is>
      </c>
      <c r="L111" s="6" t="inlineStr">
        <is>
          <t>28</t>
        </is>
      </c>
      <c r="M111" s="6" t="n">
        <v/>
      </c>
      <c r="N111" s="6" t="inlineStr">
        <is>
          <t>45</t>
        </is>
      </c>
      <c r="O111" s="6" t="inlineStr">
        <is>
          <t>C-D06</t>
        </is>
      </c>
      <c r="P111" s="6" t="inlineStr">
        <is>
          <t>St. Clair Shores</t>
        </is>
      </c>
      <c r="Q111" s="6" t="inlineStr">
        <is>
          <t>24715 Little Mack Ave ste 100, St. Clair Shores, Michigan, 48080</t>
        </is>
      </c>
      <c r="R111" s="6" t="inlineStr"/>
      <c r="S111" s="6" t="inlineStr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</row>
    <row r="112">
      <c r="A112" s="6" t="inlineStr">
        <is>
          <t>Pointe Family Physicians</t>
        </is>
      </c>
      <c r="B112" s="6" t="inlineStr">
        <is>
          <t>55be614a-add9-4757-b0ed-33f0f5c4188d</t>
        </is>
      </c>
      <c r="C112" s="6" t="inlineStr">
        <is>
          <t>PCP</t>
        </is>
      </c>
      <c r="D112" s="6" t="inlineStr">
        <is>
          <t>Prospect</t>
        </is>
      </c>
      <c r="E112" s="6" t="inlineStr">
        <is>
          <t>Visit / Prospect</t>
        </is>
      </c>
      <c r="F112" s="6" t="n">
        <v>11</v>
      </c>
      <c r="G112" s="6" t="n">
        <v>0</v>
      </c>
      <c r="H112" s="6" t="inlineStr">
        <is>
          <t>0</t>
        </is>
      </c>
      <c r="I112" s="6" t="inlineStr">
        <is>
          <t>0</t>
        </is>
      </c>
      <c r="J112" s="6" t="inlineStr"/>
      <c r="K112" s="6" t="inlineStr">
        <is>
          <t>2026-07-09</t>
        </is>
      </c>
      <c r="L112" s="6" t="inlineStr">
        <is>
          <t>7</t>
        </is>
      </c>
      <c r="M112" s="6" t="n">
        <v/>
      </c>
      <c r="N112" s="6" t="inlineStr">
        <is>
          <t>45</t>
        </is>
      </c>
      <c r="O112" s="6" t="inlineStr">
        <is>
          <t>C-D06</t>
        </is>
      </c>
      <c r="P112" s="6" t="inlineStr">
        <is>
          <t>St. Clair Shores</t>
        </is>
      </c>
      <c r="Q112" s="6" t="inlineStr">
        <is>
          <t>20225 E 9 Mile Rd ste A, St. Clair Shores, Michigan, 48080</t>
        </is>
      </c>
      <c r="R112" s="6" t="inlineStr"/>
      <c r="S112" s="6" t="inlineStr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>
      <c r="A113" s="6" t="inlineStr">
        <is>
          <t>Get Well Urgent Care of Shelby</t>
        </is>
      </c>
      <c r="B113" s="6" t="inlineStr">
        <is>
          <t>6d4858c6-18d3-4849-b136-42e2fcb84fe3</t>
        </is>
      </c>
      <c r="C113" s="6" t="inlineStr">
        <is>
          <t>Urgent Care</t>
        </is>
      </c>
      <c r="D113" s="6" t="inlineStr">
        <is>
          <t>Prospect</t>
        </is>
      </c>
      <c r="E113" s="6" t="inlineStr">
        <is>
          <t>Visit / Prospect</t>
        </is>
      </c>
      <c r="F113" s="6" t="n">
        <v>11</v>
      </c>
      <c r="G113" s="6" t="n">
        <v>0</v>
      </c>
      <c r="H113" s="6" t="inlineStr">
        <is>
          <t>0</t>
        </is>
      </c>
      <c r="I113" s="6" t="inlineStr">
        <is>
          <t>0</t>
        </is>
      </c>
      <c r="J113" s="6" t="inlineStr"/>
      <c r="K113" s="6" t="inlineStr">
        <is>
          <t>2026-07-07</t>
        </is>
      </c>
      <c r="L113" s="6" t="inlineStr">
        <is>
          <t>9</t>
        </is>
      </c>
      <c r="M113" s="6" t="n">
        <v/>
      </c>
      <c r="N113" s="6" t="inlineStr">
        <is>
          <t>45</t>
        </is>
      </c>
      <c r="O113" s="6" t="inlineStr">
        <is>
          <t>C-D07</t>
        </is>
      </c>
      <c r="P113" s="6" t="inlineStr">
        <is>
          <t>Shelby Township</t>
        </is>
      </c>
      <c r="Q113" s="6" t="inlineStr">
        <is>
          <t>13467 23 Mile Rd, Shelby Township, Michigan, 48315</t>
        </is>
      </c>
      <c r="R113" s="6" t="inlineStr"/>
      <c r="S113" s="6" t="inlineStr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</row>
    <row r="114">
      <c r="A114" s="6" t="inlineStr">
        <is>
          <t>Macomb Family Medical Center</t>
        </is>
      </c>
      <c r="B114" s="6" t="inlineStr">
        <is>
          <t>bf00683c-6b73-48ef-985a-d84796ddd18f</t>
        </is>
      </c>
      <c r="C114" s="6" t="inlineStr">
        <is>
          <t>PCP</t>
        </is>
      </c>
      <c r="D114" s="6" t="inlineStr">
        <is>
          <t>Prospect</t>
        </is>
      </c>
      <c r="E114" s="6" t="inlineStr">
        <is>
          <t>Visit / Prospect</t>
        </is>
      </c>
      <c r="F114" s="6" t="n">
        <v>11</v>
      </c>
      <c r="G114" s="6" t="n">
        <v>0</v>
      </c>
      <c r="H114" s="6" t="inlineStr">
        <is>
          <t>0</t>
        </is>
      </c>
      <c r="I114" s="6" t="inlineStr">
        <is>
          <t>0</t>
        </is>
      </c>
      <c r="J114" s="6" t="inlineStr"/>
      <c r="K114" s="6" t="inlineStr">
        <is>
          <t>2026-06-30</t>
        </is>
      </c>
      <c r="L114" s="6" t="inlineStr">
        <is>
          <t>16</t>
        </is>
      </c>
      <c r="M114" s="6" t="n">
        <v/>
      </c>
      <c r="N114" s="6" t="inlineStr">
        <is>
          <t>45</t>
        </is>
      </c>
      <c r="O114" s="6" t="inlineStr">
        <is>
          <t>C-D07</t>
        </is>
      </c>
      <c r="P114" s="6" t="inlineStr">
        <is>
          <t>MACOMB</t>
        </is>
      </c>
      <c r="Q114" s="6" t="inlineStr">
        <is>
          <t>16800 24 MILE RD STE 4, MACOMB, MI, 48042</t>
        </is>
      </c>
      <c r="R114" s="6" t="inlineStr"/>
      <c r="S114" s="6" t="inlineStr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>
      <c r="A115" s="6" t="inlineStr">
        <is>
          <t>Orthopedic Surgery of Macomb</t>
        </is>
      </c>
      <c r="B115" s="6" t="inlineStr">
        <is>
          <t>2eb4ee80-dd25-41e6-bfe5-f3b5e5e7cf91</t>
        </is>
      </c>
      <c r="C115" s="6" t="inlineStr">
        <is>
          <t>Orthopedic</t>
        </is>
      </c>
      <c r="D115" s="6" t="inlineStr">
        <is>
          <t>Prospect</t>
        </is>
      </c>
      <c r="E115" s="6" t="inlineStr">
        <is>
          <t>Visit / Prospect</t>
        </is>
      </c>
      <c r="F115" s="6" t="n">
        <v>11</v>
      </c>
      <c r="G115" s="6" t="n">
        <v>0</v>
      </c>
      <c r="H115" s="6" t="inlineStr">
        <is>
          <t>0</t>
        </is>
      </c>
      <c r="I115" s="6" t="inlineStr">
        <is>
          <t>0</t>
        </is>
      </c>
      <c r="J115" s="6" t="inlineStr"/>
      <c r="K115" s="6" t="inlineStr">
        <is>
          <t>2026-07-10</t>
        </is>
      </c>
      <c r="L115" s="6" t="inlineStr">
        <is>
          <t>6</t>
        </is>
      </c>
      <c r="M115" s="6" t="n">
        <v/>
      </c>
      <c r="N115" s="6" t="inlineStr">
        <is>
          <t>45</t>
        </is>
      </c>
      <c r="O115" s="6" t="inlineStr">
        <is>
          <t>C-D08</t>
        </is>
      </c>
      <c r="P115" s="6" t="inlineStr">
        <is>
          <t>Clinton Township</t>
        </is>
      </c>
      <c r="Q115" s="6" t="inlineStr">
        <is>
          <t>16570 19 Mile Rd, Clinton Township, Michigan, 48038</t>
        </is>
      </c>
      <c r="R115" s="6" t="inlineStr"/>
      <c r="S115" s="6" t="inlineStr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</row>
    <row r="116">
      <c r="A116" s="6" t="inlineStr">
        <is>
          <t>DMC Primary and Specialty Care - Milford</t>
        </is>
      </c>
      <c r="B116" s="6" t="inlineStr">
        <is>
          <t>16713b11-3989-4cae-9f63-709b8dcc8b9e</t>
        </is>
      </c>
      <c r="C116" s="6" t="inlineStr">
        <is>
          <t>PCP</t>
        </is>
      </c>
      <c r="D116" s="6" t="inlineStr">
        <is>
          <t>Prospect</t>
        </is>
      </c>
      <c r="E116" s="6" t="inlineStr">
        <is>
          <t>Visit / Prospect</t>
        </is>
      </c>
      <c r="F116" s="6" t="n">
        <v>11</v>
      </c>
      <c r="G116" s="6" t="n">
        <v>0</v>
      </c>
      <c r="H116" s="6" t="inlineStr">
        <is>
          <t>0</t>
        </is>
      </c>
      <c r="I116" s="6" t="inlineStr">
        <is>
          <t>0</t>
        </is>
      </c>
      <c r="J116" s="6" t="inlineStr"/>
      <c r="K116" s="6" t="inlineStr">
        <is>
          <t>2026-07-16</t>
        </is>
      </c>
      <c r="L116" s="6" t="inlineStr">
        <is>
          <t>0</t>
        </is>
      </c>
      <c r="M116" s="6" t="n">
        <v/>
      </c>
      <c r="N116" s="6" t="inlineStr">
        <is>
          <t>45</t>
        </is>
      </c>
      <c r="O116" s="6" t="inlineStr">
        <is>
          <t>C-D09</t>
        </is>
      </c>
      <c r="P116" s="6" t="inlineStr">
        <is>
          <t>Milford Charter Township</t>
        </is>
      </c>
      <c r="Q116" s="6" t="inlineStr">
        <is>
          <t>1501 N Milford Rd ste 200, Milford Charter Township, Michigan, 48381</t>
        </is>
      </c>
      <c r="R116" s="6" t="inlineStr"/>
      <c r="S116" s="6" t="inlineStr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>
      <c r="A117" s="6" t="inlineStr">
        <is>
          <t>Rosemary Aquiler-Angeles MD</t>
        </is>
      </c>
      <c r="B117" s="6" t="inlineStr">
        <is>
          <t>e6dbc679-ce67-4b3e-9c16-e0ead17fbb3b</t>
        </is>
      </c>
      <c r="C117" s="6" t="inlineStr">
        <is>
          <t>PCP</t>
        </is>
      </c>
      <c r="D117" s="6" t="inlineStr">
        <is>
          <t>Prospect</t>
        </is>
      </c>
      <c r="E117" s="6" t="inlineStr">
        <is>
          <t>Visit / Prospect</t>
        </is>
      </c>
      <c r="F117" s="6" t="n">
        <v>11</v>
      </c>
      <c r="G117" s="6" t="n">
        <v>0</v>
      </c>
      <c r="H117" s="6" t="inlineStr">
        <is>
          <t>0</t>
        </is>
      </c>
      <c r="I117" s="6" t="inlineStr">
        <is>
          <t>0</t>
        </is>
      </c>
      <c r="J117" s="6" t="inlineStr"/>
      <c r="K117" s="6" t="inlineStr">
        <is>
          <t>2026-06-19</t>
        </is>
      </c>
      <c r="L117" s="6" t="inlineStr">
        <is>
          <t>27</t>
        </is>
      </c>
      <c r="M117" s="6" t="n">
        <v/>
      </c>
      <c r="N117" s="6" t="inlineStr">
        <is>
          <t>45</t>
        </is>
      </c>
      <c r="O117" s="6" t="inlineStr">
        <is>
          <t>C-D10</t>
        </is>
      </c>
      <c r="P117" s="6" t="inlineStr">
        <is>
          <t>Livonia</t>
        </is>
      </c>
      <c r="Q117" s="6" t="inlineStr">
        <is>
          <t>18829 Farmington Road, Livonia, Michigan, 48152</t>
        </is>
      </c>
      <c r="R117" s="6" t="inlineStr"/>
      <c r="S117" s="6" t="inlineStr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</row>
    <row r="118">
      <c r="A118" s="6" t="inlineStr">
        <is>
          <t>Downriver Internists - Wayne</t>
        </is>
      </c>
      <c r="B118" s="6" t="inlineStr">
        <is>
          <t>1982992715</t>
        </is>
      </c>
      <c r="C118" s="6" t="inlineStr">
        <is>
          <t>PCP</t>
        </is>
      </c>
      <c r="D118" s="6" t="inlineStr">
        <is>
          <t>Prospect</t>
        </is>
      </c>
      <c r="E118" s="6" t="inlineStr">
        <is>
          <t>Visit / Prospect</t>
        </is>
      </c>
      <c r="F118" s="6" t="n">
        <v>11</v>
      </c>
      <c r="G118" s="6" t="n">
        <v>0</v>
      </c>
      <c r="H118" s="6" t="inlineStr">
        <is>
          <t>0</t>
        </is>
      </c>
      <c r="I118" s="6" t="inlineStr">
        <is>
          <t>0</t>
        </is>
      </c>
      <c r="J118" s="6" t="inlineStr"/>
      <c r="K118" s="6" t="inlineStr">
        <is>
          <t>2026-07-14</t>
        </is>
      </c>
      <c r="L118" s="6" t="inlineStr">
        <is>
          <t>2</t>
        </is>
      </c>
      <c r="M118" s="6" t="n">
        <v/>
      </c>
      <c r="N118" s="6" t="inlineStr">
        <is>
          <t>45</t>
        </is>
      </c>
      <c r="O118" s="6" t="inlineStr">
        <is>
          <t>C-D12</t>
        </is>
      </c>
      <c r="P118" s="6" t="inlineStr">
        <is>
          <t>Wayne</t>
        </is>
      </c>
      <c r="Q118" s="6" t="inlineStr">
        <is>
          <t>32320 Michigan, Wayne, MI, 48184</t>
        </is>
      </c>
      <c r="R118" s="6" t="inlineStr"/>
      <c r="S118" s="6" t="inlineStr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>
      <c r="A119" s="6" t="inlineStr">
        <is>
          <t>Byron Medical Group</t>
        </is>
      </c>
      <c r="B119" s="6" t="inlineStr">
        <is>
          <t>d0991686-438d-4fe9-84fd-07bb3b2bbec1</t>
        </is>
      </c>
      <c r="C119" s="6" t="inlineStr">
        <is>
          <t>PCP</t>
        </is>
      </c>
      <c r="D119" s="6" t="inlineStr">
        <is>
          <t>Prospect</t>
        </is>
      </c>
      <c r="E119" s="6" t="inlineStr">
        <is>
          <t>Visit / Prospect</t>
        </is>
      </c>
      <c r="F119" s="6" t="n">
        <v>11</v>
      </c>
      <c r="G119" s="6" t="n">
        <v>0</v>
      </c>
      <c r="H119" s="6" t="inlineStr">
        <is>
          <t>0</t>
        </is>
      </c>
      <c r="I119" s="6" t="inlineStr">
        <is>
          <t>0</t>
        </is>
      </c>
      <c r="J119" s="6" t="inlineStr"/>
      <c r="K119" s="6" t="inlineStr">
        <is>
          <t>2026-07-16</t>
        </is>
      </c>
      <c r="L119" s="6" t="inlineStr">
        <is>
          <t>0</t>
        </is>
      </c>
      <c r="M119" s="6" t="n">
        <v/>
      </c>
      <c r="N119" s="6" t="inlineStr">
        <is>
          <t>45</t>
        </is>
      </c>
      <c r="O119" s="6" t="inlineStr">
        <is>
          <t>C-D13</t>
        </is>
      </c>
      <c r="P119" s="6" t="inlineStr">
        <is>
          <t>Howell</t>
        </is>
      </c>
      <c r="Q119" s="6" t="inlineStr">
        <is>
          <t>1225 S Latson Rd ste 350, Howell, Michigan, 48843</t>
        </is>
      </c>
      <c r="R119" s="6" t="inlineStr"/>
      <c r="S119" s="6" t="inlineStr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</row>
    <row r="120">
      <c r="A120" s="6" t="inlineStr">
        <is>
          <t>Howell Family Medicine</t>
        </is>
      </c>
      <c r="B120" s="6" t="inlineStr">
        <is>
          <t>e474fc74-0d61-4b4f-831d-addccde2b9dd</t>
        </is>
      </c>
      <c r="C120" s="6" t="inlineStr">
        <is>
          <t>PCP</t>
        </is>
      </c>
      <c r="D120" s="6" t="inlineStr">
        <is>
          <t>Prospect</t>
        </is>
      </c>
      <c r="E120" s="6" t="inlineStr">
        <is>
          <t>Visit / Prospect</t>
        </is>
      </c>
      <c r="F120" s="6" t="n">
        <v>11</v>
      </c>
      <c r="G120" s="6" t="n">
        <v>0</v>
      </c>
      <c r="H120" s="6" t="inlineStr">
        <is>
          <t>0</t>
        </is>
      </c>
      <c r="I120" s="6" t="inlineStr">
        <is>
          <t>0</t>
        </is>
      </c>
      <c r="J120" s="6" t="inlineStr"/>
      <c r="K120" s="6" t="inlineStr">
        <is>
          <t>2026-07-16</t>
        </is>
      </c>
      <c r="L120" s="6" t="inlineStr">
        <is>
          <t>0</t>
        </is>
      </c>
      <c r="M120" s="6" t="n">
        <v/>
      </c>
      <c r="N120" s="6" t="inlineStr">
        <is>
          <t>45</t>
        </is>
      </c>
      <c r="O120" s="6" t="inlineStr">
        <is>
          <t>C-D13</t>
        </is>
      </c>
      <c r="P120" s="6" t="inlineStr">
        <is>
          <t>Howell</t>
        </is>
      </c>
      <c r="Q120" s="6" t="inlineStr">
        <is>
          <t>1225 S Latson Rd ste 260, Howell, Michigan, 48843</t>
        </is>
      </c>
      <c r="R120" s="6" t="inlineStr"/>
      <c r="S120" s="6" t="inlineStr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>
      <c r="A121" s="6" t="inlineStr">
        <is>
          <t>Newland Medical Associates - Howell</t>
        </is>
      </c>
      <c r="B121" s="6" t="inlineStr">
        <is>
          <t>89581b53-bbfd-4c4a-bb78-a2d4945bd199</t>
        </is>
      </c>
      <c r="C121" s="6" t="inlineStr">
        <is>
          <t>PCP</t>
        </is>
      </c>
      <c r="D121" s="6" t="inlineStr">
        <is>
          <t>Prospect</t>
        </is>
      </c>
      <c r="E121" s="6" t="inlineStr">
        <is>
          <t>Visit / Prospect</t>
        </is>
      </c>
      <c r="F121" s="6" t="n">
        <v>11</v>
      </c>
      <c r="G121" s="6" t="n">
        <v>0</v>
      </c>
      <c r="H121" s="6" t="inlineStr">
        <is>
          <t>0</t>
        </is>
      </c>
      <c r="I121" s="6" t="inlineStr">
        <is>
          <t>0</t>
        </is>
      </c>
      <c r="J121" s="6" t="inlineStr"/>
      <c r="K121" s="6" t="inlineStr">
        <is>
          <t>2026-07-16</t>
        </is>
      </c>
      <c r="L121" s="6" t="inlineStr">
        <is>
          <t>0</t>
        </is>
      </c>
      <c r="M121" s="6" t="n">
        <v/>
      </c>
      <c r="N121" s="6" t="inlineStr">
        <is>
          <t>45</t>
        </is>
      </c>
      <c r="O121" s="6" t="inlineStr">
        <is>
          <t>C-D13</t>
        </is>
      </c>
      <c r="P121" s="6" t="inlineStr">
        <is>
          <t>Howell</t>
        </is>
      </c>
      <c r="Q121" s="6" t="inlineStr">
        <is>
          <t>1225 S Latson Rd ste 260, Howell, Michigan, 48843</t>
        </is>
      </c>
      <c r="R121" s="6" t="inlineStr"/>
      <c r="S121" s="6" t="inlineStr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</row>
    <row r="122">
      <c r="A122" s="6" t="inlineStr">
        <is>
          <t>AS Medical Group</t>
        </is>
      </c>
      <c r="B122" s="6" t="inlineStr">
        <is>
          <t>00f1a591-9c29-48d3-826e-cbc95575d982</t>
        </is>
      </c>
      <c r="C122" s="6" t="inlineStr">
        <is>
          <t>PCP</t>
        </is>
      </c>
      <c r="D122" s="6" t="inlineStr">
        <is>
          <t>Prospect</t>
        </is>
      </c>
      <c r="E122" s="6" t="inlineStr">
        <is>
          <t>Visit / Prospect</t>
        </is>
      </c>
      <c r="F122" s="6" t="n">
        <v>11</v>
      </c>
      <c r="G122" s="6" t="n">
        <v>0</v>
      </c>
      <c r="H122" s="6" t="inlineStr">
        <is>
          <t>0</t>
        </is>
      </c>
      <c r="I122" s="6" t="inlineStr">
        <is>
          <t>0</t>
        </is>
      </c>
      <c r="J122" s="6" t="inlineStr"/>
      <c r="K122" s="6" t="inlineStr">
        <is>
          <t>2026-06-26</t>
        </is>
      </c>
      <c r="L122" s="6" t="inlineStr">
        <is>
          <t>20</t>
        </is>
      </c>
      <c r="M122" s="6" t="n">
        <v/>
      </c>
      <c r="N122" s="6" t="inlineStr">
        <is>
          <t>45</t>
        </is>
      </c>
      <c r="O122" s="6" t="inlineStr">
        <is>
          <t>C-D14</t>
        </is>
      </c>
      <c r="P122" s="6" t="inlineStr">
        <is>
          <t>Sterling Heights</t>
        </is>
      </c>
      <c r="Q122" s="6" t="inlineStr">
        <is>
          <t>4845 E 14 Mile Rd, Sterling Heights, Michigan, 48310</t>
        </is>
      </c>
      <c r="R122" s="6" t="inlineStr"/>
      <c r="S122" s="6" t="inlineStr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>
      <c r="A123" s="6" t="inlineStr">
        <is>
          <t>Troy Medical</t>
        </is>
      </c>
      <c r="B123" s="6" t="inlineStr">
        <is>
          <t>1578554168</t>
        </is>
      </c>
      <c r="C123" s="6" t="inlineStr">
        <is>
          <t>Urgent Care</t>
        </is>
      </c>
      <c r="D123" s="6" t="inlineStr">
        <is>
          <t>Prospect</t>
        </is>
      </c>
      <c r="E123" s="6" t="inlineStr">
        <is>
          <t>Visit / Prospect</t>
        </is>
      </c>
      <c r="F123" s="6" t="n">
        <v>11</v>
      </c>
      <c r="G123" s="6" t="n">
        <v>0</v>
      </c>
      <c r="H123" s="6" t="inlineStr">
        <is>
          <t>0</t>
        </is>
      </c>
      <c r="I123" s="6" t="inlineStr">
        <is>
          <t>0</t>
        </is>
      </c>
      <c r="J123" s="6" t="inlineStr"/>
      <c r="K123" s="6" t="inlineStr">
        <is>
          <t>2026-07-01</t>
        </is>
      </c>
      <c r="L123" s="6" t="inlineStr">
        <is>
          <t>15</t>
        </is>
      </c>
      <c r="M123" s="6" t="n">
        <v/>
      </c>
      <c r="N123" s="6" t="inlineStr">
        <is>
          <t>45</t>
        </is>
      </c>
      <c r="O123" s="6" t="inlineStr">
        <is>
          <t>C-D15</t>
        </is>
      </c>
      <c r="P123" s="6" t="inlineStr">
        <is>
          <t>Troy</t>
        </is>
      </c>
      <c r="Q123" s="6" t="inlineStr">
        <is>
          <t>2649 Crooks Rd, Troy, MI, 48084</t>
        </is>
      </c>
      <c r="R123" s="6" t="inlineStr"/>
      <c r="S123" s="6" t="inlineStr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</row>
    <row r="124">
      <c r="A124" s="6" t="inlineStr">
        <is>
          <t>Salta Direct Primary Care - Troy</t>
        </is>
      </c>
      <c r="B124" s="6" t="inlineStr">
        <is>
          <t>f945997b-7ba6-4b6c-a37a-97f24ce1fed5</t>
        </is>
      </c>
      <c r="C124" s="6" t="inlineStr">
        <is>
          <t>PCP</t>
        </is>
      </c>
      <c r="D124" s="6" t="inlineStr">
        <is>
          <t>Prospect</t>
        </is>
      </c>
      <c r="E124" s="6" t="inlineStr">
        <is>
          <t>Visit / Prospect</t>
        </is>
      </c>
      <c r="F124" s="6" t="n">
        <v>11</v>
      </c>
      <c r="G124" s="6" t="n">
        <v>0</v>
      </c>
      <c r="H124" s="6" t="inlineStr">
        <is>
          <t>0</t>
        </is>
      </c>
      <c r="I124" s="6" t="inlineStr">
        <is>
          <t>0</t>
        </is>
      </c>
      <c r="J124" s="6" t="inlineStr"/>
      <c r="K124" s="6" t="inlineStr">
        <is>
          <t>2026-07-01</t>
        </is>
      </c>
      <c r="L124" s="6" t="inlineStr">
        <is>
          <t>15</t>
        </is>
      </c>
      <c r="M124" s="6" t="n">
        <v/>
      </c>
      <c r="N124" s="6" t="inlineStr">
        <is>
          <t>45</t>
        </is>
      </c>
      <c r="O124" s="6" t="inlineStr">
        <is>
          <t>C-D15</t>
        </is>
      </c>
      <c r="P124" s="6" t="inlineStr">
        <is>
          <t>Troy</t>
        </is>
      </c>
      <c r="Q124" s="6" t="inlineStr">
        <is>
          <t>1631 W Big Beaver Rd, Troy, Michigan, 48084</t>
        </is>
      </c>
      <c r="R124" s="6" t="inlineStr"/>
      <c r="S124" s="6" t="inlineStr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>
      <c r="A125" s="6" t="inlineStr">
        <is>
          <t>MDVIP - Troy</t>
        </is>
      </c>
      <c r="B125" s="6" t="inlineStr">
        <is>
          <t>1992807358</t>
        </is>
      </c>
      <c r="C125" s="6" t="inlineStr">
        <is>
          <t>PCP</t>
        </is>
      </c>
      <c r="D125" s="6" t="inlineStr">
        <is>
          <t>Prospect</t>
        </is>
      </c>
      <c r="E125" s="6" t="inlineStr">
        <is>
          <t>Visit / Prospect</t>
        </is>
      </c>
      <c r="F125" s="6" t="n">
        <v>11</v>
      </c>
      <c r="G125" s="6" t="n">
        <v>0</v>
      </c>
      <c r="H125" s="6" t="inlineStr">
        <is>
          <t>0</t>
        </is>
      </c>
      <c r="I125" s="6" t="inlineStr">
        <is>
          <t>0</t>
        </is>
      </c>
      <c r="J125" s="6" t="inlineStr"/>
      <c r="K125" s="6" t="inlineStr">
        <is>
          <t>2026-07-01</t>
        </is>
      </c>
      <c r="L125" s="6" t="inlineStr">
        <is>
          <t>15</t>
        </is>
      </c>
      <c r="M125" s="6" t="n">
        <v/>
      </c>
      <c r="N125" s="6" t="inlineStr">
        <is>
          <t>45</t>
        </is>
      </c>
      <c r="O125" s="6" t="inlineStr">
        <is>
          <t>C-D16</t>
        </is>
      </c>
      <c r="P125" s="6" t="inlineStr">
        <is>
          <t>Troy</t>
        </is>
      </c>
      <c r="Q125" s="6" t="inlineStr">
        <is>
          <t>1639 E Big Beaver Road, ste 202, Troy, Michigan, 48083</t>
        </is>
      </c>
      <c r="R125" s="6" t="inlineStr"/>
      <c r="S125" s="6" t="inlineStr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</row>
    <row r="126">
      <c r="A126" s="6" t="inlineStr">
        <is>
          <t>Forum Medical Clinic</t>
        </is>
      </c>
      <c r="B126" s="6" t="inlineStr">
        <is>
          <t>2b118d9b-4287-416a-aa66-4e30f6d98e26</t>
        </is>
      </c>
      <c r="C126" s="6" t="inlineStr">
        <is>
          <t>PCP</t>
        </is>
      </c>
      <c r="D126" s="6" t="inlineStr">
        <is>
          <t>Prospect</t>
        </is>
      </c>
      <c r="E126" s="6" t="inlineStr">
        <is>
          <t>Visit / Prospect</t>
        </is>
      </c>
      <c r="F126" s="6" t="n">
        <v>11</v>
      </c>
      <c r="G126" s="6" t="n">
        <v>0</v>
      </c>
      <c r="H126" s="6" t="inlineStr">
        <is>
          <t>0</t>
        </is>
      </c>
      <c r="I126" s="6" t="inlineStr">
        <is>
          <t>0</t>
        </is>
      </c>
      <c r="J126" s="6" t="inlineStr"/>
      <c r="K126" s="6" t="inlineStr">
        <is>
          <t>2026-07-13</t>
        </is>
      </c>
      <c r="L126" s="6" t="inlineStr">
        <is>
          <t>3</t>
        </is>
      </c>
      <c r="M126" s="6" t="n">
        <v/>
      </c>
      <c r="N126" s="6" t="inlineStr">
        <is>
          <t>45</t>
        </is>
      </c>
      <c r="O126" s="6" t="inlineStr">
        <is>
          <t>C-D16</t>
        </is>
      </c>
      <c r="P126" s="6" t="inlineStr">
        <is>
          <t>Sterling Heights</t>
        </is>
      </c>
      <c r="Q126" s="6" t="inlineStr">
        <is>
          <t>43184 Dequindre, ste 202, Sterling Heights, Michigan, 48314</t>
        </is>
      </c>
      <c r="R126" s="6" t="inlineStr"/>
      <c r="S126" s="6" t="inlineStr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>
      <c r="A127" s="6" t="inlineStr">
        <is>
          <t>Glowacki MD - Institute for Pain, Spine &amp; Headache Disorders</t>
        </is>
      </c>
      <c r="B127" s="6" t="inlineStr">
        <is>
          <t>5bb9aa8b-846a-4a0b-ab77-289399d9b1b1</t>
        </is>
      </c>
      <c r="C127" s="6" t="inlineStr">
        <is>
          <t>Orthopedic</t>
        </is>
      </c>
      <c r="D127" s="6" t="inlineStr">
        <is>
          <t>Prospect</t>
        </is>
      </c>
      <c r="E127" s="6" t="inlineStr">
        <is>
          <t>Visit / Prospect</t>
        </is>
      </c>
      <c r="F127" s="6" t="n">
        <v>11</v>
      </c>
      <c r="G127" s="6" t="n">
        <v>0</v>
      </c>
      <c r="H127" s="6" t="inlineStr">
        <is>
          <t>0</t>
        </is>
      </c>
      <c r="I127" s="6" t="inlineStr">
        <is>
          <t>0</t>
        </is>
      </c>
      <c r="J127" s="6" t="inlineStr"/>
      <c r="K127" s="6" t="inlineStr">
        <is>
          <t>2026-06-03</t>
        </is>
      </c>
      <c r="L127" s="6" t="inlineStr">
        <is>
          <t>43</t>
        </is>
      </c>
      <c r="M127" s="6" t="n">
        <v/>
      </c>
      <c r="N127" s="6" t="inlineStr">
        <is>
          <t>45</t>
        </is>
      </c>
      <c r="O127" s="6" t="inlineStr">
        <is>
          <t>C-D16</t>
        </is>
      </c>
      <c r="P127" s="6" t="inlineStr">
        <is>
          <t>Troy</t>
        </is>
      </c>
      <c r="Q127" s="6" t="inlineStr">
        <is>
          <t>6535 Rochester Rd ste 102, Troy, Michigan, 48085</t>
        </is>
      </c>
      <c r="R127" s="6" t="inlineStr"/>
      <c r="S127" s="6" t="inlineStr">
        <is>
          <t>Ortho group w/ in-house spine? verify (Jul 20 rule) → Review for removal</t>
        </is>
      </c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</row>
    <row r="128">
      <c r="A128" s="6" t="inlineStr">
        <is>
          <t>Rochester Internists</t>
        </is>
      </c>
      <c r="B128" s="6" t="inlineStr">
        <is>
          <t>1d187d2e-e797-487e-9ca1-79b007c4f326</t>
        </is>
      </c>
      <c r="C128" s="6" t="inlineStr">
        <is>
          <t>PCP</t>
        </is>
      </c>
      <c r="D128" s="6" t="inlineStr">
        <is>
          <t>Prospect</t>
        </is>
      </c>
      <c r="E128" s="6" t="inlineStr">
        <is>
          <t>Visit / Prospect</t>
        </is>
      </c>
      <c r="F128" s="6" t="n">
        <v>11</v>
      </c>
      <c r="G128" s="6" t="n">
        <v>0</v>
      </c>
      <c r="H128" s="6" t="inlineStr">
        <is>
          <t>0</t>
        </is>
      </c>
      <c r="I128" s="6" t="inlineStr">
        <is>
          <t>0</t>
        </is>
      </c>
      <c r="J128" s="6" t="inlineStr"/>
      <c r="K128" s="6" t="inlineStr">
        <is>
          <t>2026-07-15</t>
        </is>
      </c>
      <c r="L128" s="6" t="inlineStr">
        <is>
          <t>1</t>
        </is>
      </c>
      <c r="M128" s="6" t="n">
        <v/>
      </c>
      <c r="N128" s="6" t="inlineStr">
        <is>
          <t>45</t>
        </is>
      </c>
      <c r="O128" s="6" t="inlineStr">
        <is>
          <t>C-D18</t>
        </is>
      </c>
      <c r="P128" s="6" t="inlineStr">
        <is>
          <t>Rochester Hills</t>
        </is>
      </c>
      <c r="Q128" s="6" t="inlineStr">
        <is>
          <t>2708 S Rochester Rd, Rochester Hills, Michigan, 48307</t>
        </is>
      </c>
      <c r="R128" s="6" t="inlineStr"/>
      <c r="S128" s="6" t="inlineStr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>
      <c r="A129" s="6" t="inlineStr">
        <is>
          <t>Rochester Family Practice</t>
        </is>
      </c>
      <c r="B129" s="6" t="inlineStr">
        <is>
          <t>a75491e9-8970-44fd-ba14-868027583a78</t>
        </is>
      </c>
      <c r="C129" s="6" t="inlineStr">
        <is>
          <t>PCP</t>
        </is>
      </c>
      <c r="D129" s="6" t="inlineStr">
        <is>
          <t>Prospect</t>
        </is>
      </c>
      <c r="E129" s="6" t="inlineStr">
        <is>
          <t>Visit / Prospect</t>
        </is>
      </c>
      <c r="F129" s="6" t="n">
        <v>11</v>
      </c>
      <c r="G129" s="6" t="n">
        <v>0</v>
      </c>
      <c r="H129" s="6" t="inlineStr">
        <is>
          <t>0</t>
        </is>
      </c>
      <c r="I129" s="6" t="inlineStr">
        <is>
          <t>0</t>
        </is>
      </c>
      <c r="J129" s="6" t="inlineStr"/>
      <c r="K129" s="6" t="inlineStr">
        <is>
          <t>2026-07-15</t>
        </is>
      </c>
      <c r="L129" s="6" t="inlineStr">
        <is>
          <t>1</t>
        </is>
      </c>
      <c r="M129" s="6" t="n">
        <v/>
      </c>
      <c r="N129" s="6" t="inlineStr">
        <is>
          <t>45</t>
        </is>
      </c>
      <c r="O129" s="6" t="inlineStr">
        <is>
          <t>C-D18</t>
        </is>
      </c>
      <c r="P129" s="6" t="inlineStr">
        <is>
          <t>Rochester Hills</t>
        </is>
      </c>
      <c r="Q129" s="6" t="inlineStr">
        <is>
          <t>595 Barclay Cir ste d, Rochester Hills, Michigan, 48307</t>
        </is>
      </c>
      <c r="R129" s="6" t="inlineStr"/>
      <c r="S129" s="6" t="inlineStr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</row>
    <row r="130">
      <c r="A130" s="6" t="inlineStr">
        <is>
          <t>McLaren Macomb Primary Care</t>
        </is>
      </c>
      <c r="B130" s="6" t="inlineStr">
        <is>
          <t>1215999339</t>
        </is>
      </c>
      <c r="C130" s="6" t="inlineStr">
        <is>
          <t>Pain</t>
        </is>
      </c>
      <c r="D130" s="6" t="inlineStr">
        <is>
          <t>Prospect</t>
        </is>
      </c>
      <c r="E130" s="6" t="inlineStr">
        <is>
          <t>Visit / Prospect</t>
        </is>
      </c>
      <c r="F130" s="6" t="n">
        <v>11</v>
      </c>
      <c r="G130" s="6" t="n">
        <v>0</v>
      </c>
      <c r="H130" s="6" t="inlineStr">
        <is>
          <t>0</t>
        </is>
      </c>
      <c r="I130" s="6" t="inlineStr">
        <is>
          <t>0</t>
        </is>
      </c>
      <c r="J130" s="6" t="inlineStr"/>
      <c r="K130" s="6" t="inlineStr">
        <is>
          <t>2026-07-10</t>
        </is>
      </c>
      <c r="L130" s="6" t="inlineStr">
        <is>
          <t>6</t>
        </is>
      </c>
      <c r="M130" s="6" t="n">
        <v/>
      </c>
      <c r="N130" s="6" t="inlineStr">
        <is>
          <t>45</t>
        </is>
      </c>
      <c r="O130" s="6" t="inlineStr">
        <is>
          <t>C-D20</t>
        </is>
      </c>
      <c r="P130" s="6" t="inlineStr">
        <is>
          <t>Macomb</t>
        </is>
      </c>
      <c r="Q130" s="6" t="inlineStr">
        <is>
          <t>45441 Heydenreich Rd, Macomb, MI, 48044</t>
        </is>
      </c>
      <c r="R130" s="6" t="inlineStr"/>
      <c r="S130" s="6" t="inlineStr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>
      <c r="A131" s="6" t="inlineStr">
        <is>
          <t>Romeo Plank Family Practice</t>
        </is>
      </c>
      <c r="B131" s="6" t="inlineStr">
        <is>
          <t>5356ae4a-e9ec-4b34-abe8-65a5ff0318ce</t>
        </is>
      </c>
      <c r="C131" s="6" t="inlineStr">
        <is>
          <t>PCP</t>
        </is>
      </c>
      <c r="D131" s="6" t="inlineStr">
        <is>
          <t>Prospect</t>
        </is>
      </c>
      <c r="E131" s="6" t="inlineStr">
        <is>
          <t>Visit / Prospect</t>
        </is>
      </c>
      <c r="F131" s="6" t="n">
        <v>11</v>
      </c>
      <c r="G131" s="6" t="n">
        <v>0</v>
      </c>
      <c r="H131" s="6" t="inlineStr">
        <is>
          <t>0</t>
        </is>
      </c>
      <c r="I131" s="6" t="inlineStr">
        <is>
          <t>0</t>
        </is>
      </c>
      <c r="J131" s="6" t="inlineStr"/>
      <c r="K131" s="6" t="inlineStr">
        <is>
          <t>2026-07-10</t>
        </is>
      </c>
      <c r="L131" s="6" t="inlineStr">
        <is>
          <t>6</t>
        </is>
      </c>
      <c r="M131" s="6" t="n">
        <v/>
      </c>
      <c r="N131" s="6" t="inlineStr">
        <is>
          <t>45</t>
        </is>
      </c>
      <c r="O131" s="6" t="inlineStr">
        <is>
          <t>C-D20</t>
        </is>
      </c>
      <c r="P131" s="6" t="inlineStr">
        <is>
          <t>Macomb</t>
        </is>
      </c>
      <c r="Q131" s="6" t="inlineStr">
        <is>
          <t>46591 Romeo Plank Rd suite 200, Macomb, Michigan, 48044</t>
        </is>
      </c>
      <c r="R131" s="6" t="inlineStr"/>
      <c r="S131" s="6" t="inlineStr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</row>
    <row r="132">
      <c r="A132" s="6" t="inlineStr">
        <is>
          <t>Neuro Pain Consultants - Macomb</t>
        </is>
      </c>
      <c r="B132" s="6" t="inlineStr">
        <is>
          <t>4bb9ca0b-1ac2-4359-9bae-ac3b13ca5c66</t>
        </is>
      </c>
      <c r="C132" s="6" t="inlineStr">
        <is>
          <t>Orthopedic</t>
        </is>
      </c>
      <c r="D132" s="6" t="inlineStr">
        <is>
          <t>Prospect</t>
        </is>
      </c>
      <c r="E132" s="6" t="inlineStr">
        <is>
          <t>Visit / Prospect</t>
        </is>
      </c>
      <c r="F132" s="6" t="n">
        <v>11</v>
      </c>
      <c r="G132" s="6" t="n">
        <v>0</v>
      </c>
      <c r="H132" s="6" t="inlineStr">
        <is>
          <t>0</t>
        </is>
      </c>
      <c r="I132" s="6" t="inlineStr">
        <is>
          <t>0</t>
        </is>
      </c>
      <c r="J132" s="6" t="inlineStr"/>
      <c r="K132" s="6" t="inlineStr">
        <is>
          <t>2026-06-26</t>
        </is>
      </c>
      <c r="L132" s="6" t="inlineStr">
        <is>
          <t>20</t>
        </is>
      </c>
      <c r="M132" s="6" t="n">
        <v/>
      </c>
      <c r="N132" s="6" t="inlineStr">
        <is>
          <t>45</t>
        </is>
      </c>
      <c r="O132" s="6" t="inlineStr">
        <is>
          <t>C-D20</t>
        </is>
      </c>
      <c r="P132" s="6" t="inlineStr">
        <is>
          <t>Macomb</t>
        </is>
      </c>
      <c r="Q132" s="6" t="inlineStr">
        <is>
          <t>48801 Romeo Plank Rd suite 103, Macomb, Michigan, 48044</t>
        </is>
      </c>
      <c r="R132" s="6" t="inlineStr"/>
      <c r="S132" s="6" t="inlineStr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>
      <c r="A133" s="6" t="inlineStr">
        <is>
          <t>Silver Pine Medical Group Romeo Plank</t>
        </is>
      </c>
      <c r="B133" s="6" t="inlineStr">
        <is>
          <t>768a5944-a609-410c-8f75-098efa9952de</t>
        </is>
      </c>
      <c r="C133" s="6" t="inlineStr">
        <is>
          <t>PCP</t>
        </is>
      </c>
      <c r="D133" s="6" t="inlineStr">
        <is>
          <t>Prospect</t>
        </is>
      </c>
      <c r="E133" s="6" t="inlineStr">
        <is>
          <t>Visit / Prospect</t>
        </is>
      </c>
      <c r="F133" s="6" t="n">
        <v>11</v>
      </c>
      <c r="G133" s="6" t="n">
        <v>0</v>
      </c>
      <c r="H133" s="6" t="inlineStr">
        <is>
          <t>0</t>
        </is>
      </c>
      <c r="I133" s="6" t="inlineStr">
        <is>
          <t>0</t>
        </is>
      </c>
      <c r="J133" s="6" t="inlineStr"/>
      <c r="K133" s="6" t="inlineStr">
        <is>
          <t>2026-07-10</t>
        </is>
      </c>
      <c r="L133" s="6" t="inlineStr">
        <is>
          <t>6</t>
        </is>
      </c>
      <c r="M133" s="6" t="n">
        <v/>
      </c>
      <c r="N133" s="6" t="inlineStr">
        <is>
          <t>45</t>
        </is>
      </c>
      <c r="O133" s="6" t="inlineStr">
        <is>
          <t>C-D20</t>
        </is>
      </c>
      <c r="P133" s="6" t="inlineStr">
        <is>
          <t>Macomb</t>
        </is>
      </c>
      <c r="Q133" s="6" t="inlineStr">
        <is>
          <t>48801 Romeo Plank Rd ste 103, Macomb, Michigan, 48044</t>
        </is>
      </c>
      <c r="R133" s="6" t="inlineStr"/>
      <c r="S133" s="6" t="inlineStr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>
      <c r="A134" s="6" t="inlineStr">
        <is>
          <t>MOTOR CITY ORTHOPEDICS - Novi</t>
        </is>
      </c>
      <c r="B134" s="6" t="inlineStr">
        <is>
          <t>08267c79-105f-464d-9871-7cf4341a4386</t>
        </is>
      </c>
      <c r="C134" s="6" t="inlineStr">
        <is>
          <t>Orthopedic</t>
        </is>
      </c>
      <c r="D134" s="6" t="inlineStr">
        <is>
          <t>Prospect</t>
        </is>
      </c>
      <c r="E134" s="6" t="inlineStr">
        <is>
          <t>Visit / Prospect</t>
        </is>
      </c>
      <c r="F134" s="6" t="n">
        <v>11</v>
      </c>
      <c r="G134" s="6" t="n">
        <v>0</v>
      </c>
      <c r="H134" s="6" t="inlineStr">
        <is>
          <t>0</t>
        </is>
      </c>
      <c r="I134" s="6" t="inlineStr">
        <is>
          <t>0</t>
        </is>
      </c>
      <c r="J134" s="6" t="inlineStr"/>
      <c r="K134" s="6" t="inlineStr">
        <is>
          <t>2026-06-22</t>
        </is>
      </c>
      <c r="L134" s="6" t="inlineStr">
        <is>
          <t>24</t>
        </is>
      </c>
      <c r="M134" s="6" t="n">
        <v/>
      </c>
      <c r="N134" s="6" t="inlineStr">
        <is>
          <t>45</t>
        </is>
      </c>
      <c r="O134" s="6" t="inlineStr">
        <is>
          <t>C-D21</t>
        </is>
      </c>
      <c r="P134" s="6" t="inlineStr">
        <is>
          <t>NOVI</t>
        </is>
      </c>
      <c r="Q134" s="6" t="inlineStr">
        <is>
          <t>26850 PROVIDENCE PKWY STE 260, NOVI, MI, 48374</t>
        </is>
      </c>
      <c r="R134" s="6" t="inlineStr"/>
      <c r="S134" s="6" t="inlineStr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>
      <c r="A135" s="6" t="inlineStr">
        <is>
          <t>Urgent Care of Milford</t>
        </is>
      </c>
      <c r="B135" s="6" t="inlineStr">
        <is>
          <t>c87aa383-9bf1-4f78-8810-bcb83fcefb74</t>
        </is>
      </c>
      <c r="C135" s="6" t="inlineStr">
        <is>
          <t>Urgent Care</t>
        </is>
      </c>
      <c r="D135" s="6" t="inlineStr">
        <is>
          <t>Prospect</t>
        </is>
      </c>
      <c r="E135" s="6" t="inlineStr">
        <is>
          <t>Visit / Prospect</t>
        </is>
      </c>
      <c r="F135" s="6" t="n">
        <v>11</v>
      </c>
      <c r="G135" s="6" t="n">
        <v>0</v>
      </c>
      <c r="H135" s="6" t="inlineStr">
        <is>
          <t>0</t>
        </is>
      </c>
      <c r="I135" s="6" t="inlineStr">
        <is>
          <t>0</t>
        </is>
      </c>
      <c r="J135" s="6" t="inlineStr"/>
      <c r="K135" s="6" t="inlineStr">
        <is>
          <t>2026-07-16</t>
        </is>
      </c>
      <c r="L135" s="6" t="inlineStr">
        <is>
          <t>0</t>
        </is>
      </c>
      <c r="M135" s="6" t="n">
        <v/>
      </c>
      <c r="N135" s="6" t="inlineStr">
        <is>
          <t>45</t>
        </is>
      </c>
      <c r="O135" s="6" t="inlineStr">
        <is>
          <t>C-D21</t>
        </is>
      </c>
      <c r="P135" s="6" t="inlineStr">
        <is>
          <t>Milford Charter Township</t>
        </is>
      </c>
      <c r="Q135" s="6" t="inlineStr">
        <is>
          <t>600 Highland Ave Milford, Milford Charter Township, Michigan, 48381</t>
        </is>
      </c>
      <c r="R135" s="6" t="inlineStr"/>
      <c r="S135" s="6" t="inlineStr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</row>
    <row r="136">
      <c r="A136" s="6" t="inlineStr">
        <is>
          <t>Michigan Surgery Specialists - Shelby Township</t>
        </is>
      </c>
      <c r="B136" s="6" t="inlineStr">
        <is>
          <t>1c5a48da-6d75-4a3e-acb4-f4ed5e876ed6</t>
        </is>
      </c>
      <c r="C136" s="6" t="inlineStr">
        <is>
          <t>Orthopedic</t>
        </is>
      </c>
      <c r="D136" s="6" t="inlineStr">
        <is>
          <t>Prospect</t>
        </is>
      </c>
      <c r="E136" s="6" t="inlineStr">
        <is>
          <t>Visit / Prospect</t>
        </is>
      </c>
      <c r="F136" s="6" t="n">
        <v>11</v>
      </c>
      <c r="G136" s="6" t="n">
        <v>0</v>
      </c>
      <c r="H136" s="6" t="inlineStr">
        <is>
          <t>0</t>
        </is>
      </c>
      <c r="I136" s="6" t="inlineStr">
        <is>
          <t>0</t>
        </is>
      </c>
      <c r="J136" s="6" t="inlineStr"/>
      <c r="K136" s="6" t="inlineStr">
        <is>
          <t>2026-07-07</t>
        </is>
      </c>
      <c r="L136" s="6" t="inlineStr">
        <is>
          <t>9</t>
        </is>
      </c>
      <c r="M136" s="6" t="n">
        <v/>
      </c>
      <c r="N136" s="6" t="inlineStr">
        <is>
          <t>45</t>
        </is>
      </c>
      <c r="O136" s="6" t="inlineStr">
        <is>
          <t>C-D23</t>
        </is>
      </c>
      <c r="P136" s="6" t="inlineStr">
        <is>
          <t>Shelby Township</t>
        </is>
      </c>
      <c r="Q136" s="6" t="inlineStr">
        <is>
          <t>50505 Schoenherr Road, ste 250, Shelby Township, Michigan, 48315</t>
        </is>
      </c>
      <c r="R136" s="6" t="inlineStr"/>
      <c r="S136" s="6" t="inlineStr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>
      <c r="A137" s="6" t="inlineStr">
        <is>
          <t>Alliance - Shelby Township</t>
        </is>
      </c>
      <c r="B137" s="6" t="inlineStr">
        <is>
          <t>bbb5a959-2f90-4cc2-aa31-4147951ed255</t>
        </is>
      </c>
      <c r="C137" s="6" t="inlineStr">
        <is>
          <t>PCP</t>
        </is>
      </c>
      <c r="D137" s="6" t="inlineStr">
        <is>
          <t>Prospect</t>
        </is>
      </c>
      <c r="E137" s="6" t="inlineStr">
        <is>
          <t>Visit / Prospect</t>
        </is>
      </c>
      <c r="F137" s="6" t="n">
        <v>11</v>
      </c>
      <c r="G137" s="6" t="n">
        <v>0</v>
      </c>
      <c r="H137" s="6" t="inlineStr">
        <is>
          <t>0</t>
        </is>
      </c>
      <c r="I137" s="6" t="inlineStr">
        <is>
          <t>0</t>
        </is>
      </c>
      <c r="J137" s="6" t="inlineStr"/>
      <c r="K137" s="6" t="inlineStr">
        <is>
          <t>2026-07-07</t>
        </is>
      </c>
      <c r="L137" s="6" t="inlineStr">
        <is>
          <t>9</t>
        </is>
      </c>
      <c r="M137" s="6" t="n">
        <v/>
      </c>
      <c r="N137" s="6" t="inlineStr">
        <is>
          <t>45</t>
        </is>
      </c>
      <c r="O137" s="6" t="inlineStr">
        <is>
          <t>C-D23</t>
        </is>
      </c>
      <c r="P137" s="6" t="inlineStr">
        <is>
          <t>Shelby Township</t>
        </is>
      </c>
      <c r="Q137" s="6" t="inlineStr">
        <is>
          <t>49310 Van Dyke Ave, Shelby Township, Michigan, 48317</t>
        </is>
      </c>
      <c r="R137" s="6" t="inlineStr"/>
      <c r="S137" s="6" t="inlineStr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</row>
    <row r="138">
      <c r="A138" s="6" t="inlineStr">
        <is>
          <t>Osteopathic Health Care Associates</t>
        </is>
      </c>
      <c r="B138" s="6" t="inlineStr">
        <is>
          <t>1891724688</t>
        </is>
      </c>
      <c r="C138" s="6" t="inlineStr">
        <is>
          <t>PCP</t>
        </is>
      </c>
      <c r="D138" s="6" t="inlineStr">
        <is>
          <t>Prospect</t>
        </is>
      </c>
      <c r="E138" s="6" t="inlineStr">
        <is>
          <t>Visit / Prospect</t>
        </is>
      </c>
      <c r="F138" s="6" t="n">
        <v>11</v>
      </c>
      <c r="G138" s="6" t="n">
        <v>0</v>
      </c>
      <c r="H138" s="6" t="inlineStr">
        <is>
          <t>0</t>
        </is>
      </c>
      <c r="I138" s="6" t="inlineStr">
        <is>
          <t>0</t>
        </is>
      </c>
      <c r="J138" s="6" t="inlineStr"/>
      <c r="K138" s="6" t="inlineStr">
        <is>
          <t>2026-06-23</t>
        </is>
      </c>
      <c r="L138" s="6" t="inlineStr">
        <is>
          <t>23</t>
        </is>
      </c>
      <c r="M138" s="6" t="n">
        <v/>
      </c>
      <c r="N138" s="6" t="inlineStr">
        <is>
          <t>45</t>
        </is>
      </c>
      <c r="O138" s="6" t="inlineStr">
        <is>
          <t>C-D23</t>
        </is>
      </c>
      <c r="P138" s="6" t="inlineStr">
        <is>
          <t>Utica</t>
        </is>
      </c>
      <c r="Q138" s="6" t="inlineStr">
        <is>
          <t>44720 Van Dyke Ave, Utica, MI, 48317</t>
        </is>
      </c>
      <c r="R138" s="6" t="inlineStr"/>
      <c r="S138" s="6" t="inlineStr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>
      <c r="A139" s="6" t="inlineStr">
        <is>
          <t>PRISM Extended Care and Urgent Care</t>
        </is>
      </c>
      <c r="B139" s="6" t="inlineStr">
        <is>
          <t>6a404f23-7c36-4965-b240-828d66cceec9</t>
        </is>
      </c>
      <c r="C139" s="6" t="inlineStr">
        <is>
          <t>Urgent Care</t>
        </is>
      </c>
      <c r="D139" s="6" t="inlineStr">
        <is>
          <t>Prospect</t>
        </is>
      </c>
      <c r="E139" s="6" t="inlineStr">
        <is>
          <t>Visit / Prospect</t>
        </is>
      </c>
      <c r="F139" s="6" t="n">
        <v>11</v>
      </c>
      <c r="G139" s="6" t="n">
        <v>0</v>
      </c>
      <c r="H139" s="6" t="inlineStr">
        <is>
          <t>0</t>
        </is>
      </c>
      <c r="I139" s="6" t="inlineStr">
        <is>
          <t>0</t>
        </is>
      </c>
      <c r="J139" s="6" t="inlineStr"/>
      <c r="K139" s="6" t="inlineStr">
        <is>
          <t>2026-06-23</t>
        </is>
      </c>
      <c r="L139" s="6" t="inlineStr">
        <is>
          <t>23</t>
        </is>
      </c>
      <c r="M139" s="6" t="n">
        <v/>
      </c>
      <c r="N139" s="6" t="inlineStr">
        <is>
          <t>45</t>
        </is>
      </c>
      <c r="O139" s="6" t="inlineStr">
        <is>
          <t>C-D23</t>
        </is>
      </c>
      <c r="P139" s="6" t="inlineStr">
        <is>
          <t>Rochester Hills</t>
        </is>
      </c>
      <c r="Q139" s="6" t="inlineStr">
        <is>
          <t>1701 E South Blvd Ste 150, Rochester Hills, MI 48307, United States, Rochester Hills, Michigan, 48307</t>
        </is>
      </c>
      <c r="R139" s="6" t="inlineStr"/>
      <c r="S139" s="6" t="inlineStr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</row>
    <row r="140">
      <c r="A140" s="6" t="inlineStr">
        <is>
          <t>Karle Medical Group</t>
        </is>
      </c>
      <c r="B140" s="6" t="inlineStr">
        <is>
          <t>19495112-7e08-4c09-8899-f4c2049ff753</t>
        </is>
      </c>
      <c r="C140" s="6" t="inlineStr">
        <is>
          <t>PCP</t>
        </is>
      </c>
      <c r="D140" s="6" t="inlineStr">
        <is>
          <t>Prospect</t>
        </is>
      </c>
      <c r="E140" s="6" t="inlineStr">
        <is>
          <t>Visit / Prospect</t>
        </is>
      </c>
      <c r="F140" s="6" t="n">
        <v>11</v>
      </c>
      <c r="G140" s="6" t="n">
        <v>0</v>
      </c>
      <c r="H140" s="6" t="inlineStr">
        <is>
          <t>0</t>
        </is>
      </c>
      <c r="I140" s="6" t="inlineStr">
        <is>
          <t>0</t>
        </is>
      </c>
      <c r="J140" s="6" t="inlineStr"/>
      <c r="K140" s="6" t="inlineStr">
        <is>
          <t>2026-07-15</t>
        </is>
      </c>
      <c r="L140" s="6" t="inlineStr">
        <is>
          <t>1</t>
        </is>
      </c>
      <c r="M140" s="6" t="n">
        <v/>
      </c>
      <c r="N140" s="6" t="inlineStr">
        <is>
          <t>45</t>
        </is>
      </c>
      <c r="O140" s="6" t="inlineStr">
        <is>
          <t>C-D24</t>
        </is>
      </c>
      <c r="P140" s="6" t="inlineStr">
        <is>
          <t>Rochester Hills</t>
        </is>
      </c>
      <c r="Q140" s="6" t="inlineStr">
        <is>
          <t>455 Barclay Cir, Unit D, Rochester Hills, Michigan, 48307</t>
        </is>
      </c>
      <c r="R140" s="6" t="inlineStr"/>
      <c r="S140" s="6" t="inlineStr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>
      <c r="A141" s="6" t="inlineStr">
        <is>
          <t>Ciarlone Orthopedics</t>
        </is>
      </c>
      <c r="B141" s="6" t="inlineStr">
        <is>
          <t>776e10e7-f4c0-411b-be58-d586dedcc5eb</t>
        </is>
      </c>
      <c r="C141" s="6" t="inlineStr">
        <is>
          <t>Orthopedic</t>
        </is>
      </c>
      <c r="D141" s="6" t="inlineStr">
        <is>
          <t>Prospect</t>
        </is>
      </c>
      <c r="E141" s="6" t="inlineStr">
        <is>
          <t>Visit / Prospect</t>
        </is>
      </c>
      <c r="F141" s="6" t="n">
        <v>11</v>
      </c>
      <c r="G141" s="6" t="n">
        <v>0</v>
      </c>
      <c r="H141" s="6" t="inlineStr">
        <is>
          <t>0</t>
        </is>
      </c>
      <c r="I141" s="6" t="inlineStr">
        <is>
          <t>0</t>
        </is>
      </c>
      <c r="J141" s="6" t="inlineStr"/>
      <c r="K141" s="6" t="inlineStr">
        <is>
          <t>2026-07-15</t>
        </is>
      </c>
      <c r="L141" s="6" t="inlineStr">
        <is>
          <t>1</t>
        </is>
      </c>
      <c r="M141" s="6" t="n">
        <v/>
      </c>
      <c r="N141" s="6" t="inlineStr">
        <is>
          <t>45</t>
        </is>
      </c>
      <c r="O141" s="6" t="inlineStr">
        <is>
          <t>C-D24</t>
        </is>
      </c>
      <c r="P141" s="6" t="inlineStr">
        <is>
          <t>Rochester Hills</t>
        </is>
      </c>
      <c r="Q141" s="6" t="inlineStr">
        <is>
          <t>75 Barclay Cir ste 235, Rochester Hills, Michigan, 48307</t>
        </is>
      </c>
      <c r="R141" s="6" t="inlineStr"/>
      <c r="S141" s="6" t="inlineStr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</row>
    <row r="142">
      <c r="A142" s="6" t="inlineStr">
        <is>
          <t>Amabir Khaira MD</t>
        </is>
      </c>
      <c r="B142" s="6" t="inlineStr">
        <is>
          <t>fdc185b1-8cf4-4f41-b543-bd81b47c5427</t>
        </is>
      </c>
      <c r="C142" s="6" t="inlineStr">
        <is>
          <t>PCP</t>
        </is>
      </c>
      <c r="D142" s="6" t="inlineStr">
        <is>
          <t>Prospect</t>
        </is>
      </c>
      <c r="E142" s="6" t="inlineStr">
        <is>
          <t>Visit / Prospect</t>
        </is>
      </c>
      <c r="F142" s="6" t="n">
        <v>11</v>
      </c>
      <c r="G142" s="6" t="n">
        <v>0</v>
      </c>
      <c r="H142" s="6" t="inlineStr">
        <is>
          <t>0</t>
        </is>
      </c>
      <c r="I142" s="6" t="inlineStr">
        <is>
          <t>0</t>
        </is>
      </c>
      <c r="J142" s="6" t="inlineStr"/>
      <c r="K142" s="6" t="inlineStr">
        <is>
          <t>2026-07-15</t>
        </is>
      </c>
      <c r="L142" s="6" t="inlineStr">
        <is>
          <t>1</t>
        </is>
      </c>
      <c r="M142" s="6" t="n">
        <v/>
      </c>
      <c r="N142" s="6" t="inlineStr">
        <is>
          <t>45</t>
        </is>
      </c>
      <c r="O142" s="6" t="inlineStr">
        <is>
          <t>C-D24</t>
        </is>
      </c>
      <c r="P142" s="6" t="inlineStr">
        <is>
          <t>Rochester Hills</t>
        </is>
      </c>
      <c r="Q142" s="6" t="inlineStr">
        <is>
          <t>75 Barclay Cir ste 208, Rochester Hills, Michigan, 48307</t>
        </is>
      </c>
      <c r="R142" s="6" t="inlineStr"/>
      <c r="S142" s="6" t="inlineStr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>
      <c r="A143" s="6" t="inlineStr">
        <is>
          <t>Forum Medical Clinic</t>
        </is>
      </c>
      <c r="B143" s="6" t="inlineStr">
        <is>
          <t>2b118d9b-4287-416a-aa66-4e30f6d98e26</t>
        </is>
      </c>
      <c r="C143" s="6" t="inlineStr">
        <is>
          <t>PCP</t>
        </is>
      </c>
      <c r="D143" s="6" t="inlineStr">
        <is>
          <t>Prospect</t>
        </is>
      </c>
      <c r="E143" s="6" t="inlineStr">
        <is>
          <t>Visit / Prospect</t>
        </is>
      </c>
      <c r="F143" s="6" t="n">
        <v>11</v>
      </c>
      <c r="G143" s="6" t="n">
        <v>0</v>
      </c>
      <c r="H143" s="6" t="inlineStr">
        <is>
          <t>0</t>
        </is>
      </c>
      <c r="I143" s="6" t="inlineStr">
        <is>
          <t>0</t>
        </is>
      </c>
      <c r="J143" s="6" t="inlineStr"/>
      <c r="K143" s="6" t="inlineStr">
        <is>
          <t>2026-07-13</t>
        </is>
      </c>
      <c r="L143" s="6" t="inlineStr">
        <is>
          <t>3</t>
        </is>
      </c>
      <c r="M143" s="6" t="n">
        <v/>
      </c>
      <c r="N143" s="6" t="inlineStr">
        <is>
          <t>45</t>
        </is>
      </c>
      <c r="O143" s="6" t="inlineStr">
        <is>
          <t>C-D25</t>
        </is>
      </c>
      <c r="P143" s="6" t="inlineStr">
        <is>
          <t>Warren</t>
        </is>
      </c>
      <c r="Q143" s="6" t="inlineStr">
        <is>
          <t>25625 Schoenherr Rd, Warren, MI, 48089</t>
        </is>
      </c>
      <c r="R143" s="6" t="inlineStr"/>
      <c r="S143" s="6" t="inlineStr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</row>
    <row r="144">
      <c r="A144" s="6" t="inlineStr">
        <is>
          <t>Julie Henry, MD</t>
        </is>
      </c>
      <c r="B144" s="6" t="inlineStr">
        <is>
          <t>1eb4b4af-01f6-4e42-bf98-d3a12bea0f85</t>
        </is>
      </c>
      <c r="C144" s="6" t="inlineStr">
        <is>
          <t>Orthopedic</t>
        </is>
      </c>
      <c r="D144" s="6" t="inlineStr">
        <is>
          <t>Prospect</t>
        </is>
      </c>
      <c r="E144" s="6" t="inlineStr">
        <is>
          <t>Visit / Prospect</t>
        </is>
      </c>
      <c r="F144" s="6" t="n">
        <v>11</v>
      </c>
      <c r="G144" s="6" t="n">
        <v>0</v>
      </c>
      <c r="H144" s="6" t="inlineStr">
        <is>
          <t>0</t>
        </is>
      </c>
      <c r="I144" s="6" t="inlineStr">
        <is>
          <t>0</t>
        </is>
      </c>
      <c r="J144" s="6" t="inlineStr"/>
      <c r="K144" s="6" t="inlineStr">
        <is>
          <t>2026-06-18</t>
        </is>
      </c>
      <c r="L144" s="6" t="inlineStr">
        <is>
          <t>28</t>
        </is>
      </c>
      <c r="M144" s="6" t="n">
        <v/>
      </c>
      <c r="N144" s="6" t="inlineStr">
        <is>
          <t>45</t>
        </is>
      </c>
      <c r="O144" s="6" t="inlineStr">
        <is>
          <t>C-D25</t>
        </is>
      </c>
      <c r="P144" s="6" t="inlineStr">
        <is>
          <t>Warren</t>
        </is>
      </c>
      <c r="Q144" s="6" t="inlineStr">
        <is>
          <t>27427 Schoenherr Rd suite 200, Warren, Michigan, 48088</t>
        </is>
      </c>
      <c r="R144" s="6" t="inlineStr"/>
      <c r="S144" s="6" t="inlineStr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>
      <c r="A145" s="6" t="inlineStr">
        <is>
          <t>Greater Michigan Orthopedics and Sports Medicine - Warren</t>
        </is>
      </c>
      <c r="B145" s="6" t="inlineStr">
        <is>
          <t>1023000882</t>
        </is>
      </c>
      <c r="C145" s="6" t="inlineStr">
        <is>
          <t>Orthopedic</t>
        </is>
      </c>
      <c r="D145" s="6" t="inlineStr">
        <is>
          <t>Prospect</t>
        </is>
      </c>
      <c r="E145" s="6" t="inlineStr">
        <is>
          <t>Visit / Prospect</t>
        </is>
      </c>
      <c r="F145" s="6" t="n">
        <v>11</v>
      </c>
      <c r="G145" s="6" t="n">
        <v>0</v>
      </c>
      <c r="H145" s="6" t="inlineStr">
        <is>
          <t>0</t>
        </is>
      </c>
      <c r="I145" s="6" t="inlineStr">
        <is>
          <t>0</t>
        </is>
      </c>
      <c r="J145" s="6" t="inlineStr"/>
      <c r="K145" s="6" t="inlineStr">
        <is>
          <t>2026-06-01</t>
        </is>
      </c>
      <c r="L145" s="6" t="inlineStr">
        <is>
          <t>45</t>
        </is>
      </c>
      <c r="M145" s="6" t="n">
        <v/>
      </c>
      <c r="N145" s="6" t="inlineStr">
        <is>
          <t>45</t>
        </is>
      </c>
      <c r="O145" s="6" t="inlineStr">
        <is>
          <t>C-D25</t>
        </is>
      </c>
      <c r="P145" s="6" t="inlineStr">
        <is>
          <t>Warren</t>
        </is>
      </c>
      <c r="Q145" s="6" t="inlineStr">
        <is>
          <t>28001 Schoenherr Road, Warren, Michigan, 48088</t>
        </is>
      </c>
      <c r="R145" s="6" t="inlineStr"/>
      <c r="S145" s="6" t="inlineStr">
        <is>
          <t>Possible competitor (Jul 20 rule) → Review for removal</t>
        </is>
      </c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</row>
    <row r="146">
      <c r="A146" s="6" t="inlineStr">
        <is>
          <t>Maan Askar MD - 13 Mile</t>
        </is>
      </c>
      <c r="B146" s="6" t="inlineStr">
        <is>
          <t>8bdecedc-33cd-4229-8467-d684f3b6242d</t>
        </is>
      </c>
      <c r="C146" s="6" t="inlineStr">
        <is>
          <t>PCP</t>
        </is>
      </c>
      <c r="D146" s="6" t="inlineStr">
        <is>
          <t>Prospect</t>
        </is>
      </c>
      <c r="E146" s="6" t="inlineStr">
        <is>
          <t>Visit / Prospect</t>
        </is>
      </c>
      <c r="F146" s="6" t="n">
        <v>11</v>
      </c>
      <c r="G146" s="6" t="n">
        <v>0</v>
      </c>
      <c r="H146" s="6" t="inlineStr">
        <is>
          <t>0</t>
        </is>
      </c>
      <c r="I146" s="6" t="inlineStr">
        <is>
          <t>0</t>
        </is>
      </c>
      <c r="J146" s="6" t="inlineStr"/>
      <c r="K146" s="6" t="inlineStr">
        <is>
          <t>2026-07-09</t>
        </is>
      </c>
      <c r="L146" s="6" t="inlineStr">
        <is>
          <t>7</t>
        </is>
      </c>
      <c r="M146" s="6" t="n">
        <v/>
      </c>
      <c r="N146" s="6" t="inlineStr">
        <is>
          <t>45</t>
        </is>
      </c>
      <c r="O146" s="6" t="inlineStr">
        <is>
          <t>C-D25</t>
        </is>
      </c>
      <c r="P146" s="6" t="inlineStr">
        <is>
          <t>Warren</t>
        </is>
      </c>
      <c r="Q146" s="6" t="inlineStr">
        <is>
          <t>13430 13 Mile Rd, Warren, Michigan, 48088</t>
        </is>
      </c>
      <c r="R146" s="6" t="inlineStr"/>
      <c r="S146" s="6" t="inlineStr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>
      <c r="A147" s="6" t="inlineStr">
        <is>
          <t>Internal Medicine Associates of Rochester Hills, PC</t>
        </is>
      </c>
      <c r="B147" s="6" t="inlineStr">
        <is>
          <t>d585f868-a414-424d-b7fc-46bf2da53972</t>
        </is>
      </c>
      <c r="C147" s="6" t="inlineStr">
        <is>
          <t>PCP</t>
        </is>
      </c>
      <c r="D147" s="6" t="inlineStr">
        <is>
          <t>Prospect</t>
        </is>
      </c>
      <c r="E147" s="6" t="inlineStr">
        <is>
          <t>Visit / Prospect</t>
        </is>
      </c>
      <c r="F147" s="6" t="n">
        <v>11</v>
      </c>
      <c r="G147" s="6" t="n">
        <v>0</v>
      </c>
      <c r="H147" s="6" t="inlineStr">
        <is>
          <t>0</t>
        </is>
      </c>
      <c r="I147" s="6" t="inlineStr">
        <is>
          <t>0</t>
        </is>
      </c>
      <c r="J147" s="6" t="inlineStr"/>
      <c r="K147" s="6" t="inlineStr">
        <is>
          <t>2026-07-06</t>
        </is>
      </c>
      <c r="L147" s="6" t="inlineStr">
        <is>
          <t>10</t>
        </is>
      </c>
      <c r="M147" s="6" t="n">
        <v/>
      </c>
      <c r="N147" s="6" t="inlineStr">
        <is>
          <t>45</t>
        </is>
      </c>
      <c r="O147" s="6" t="inlineStr">
        <is>
          <t>C-D26</t>
        </is>
      </c>
      <c r="P147" s="6" t="inlineStr">
        <is>
          <t>Rochester Hills</t>
        </is>
      </c>
      <c r="Q147" s="6" t="inlineStr">
        <is>
          <t>455 S Livernois Rd Suite C-24, Rochester Hills, MI 48307, United States, Rochester Hills, Michigan, 48307</t>
        </is>
      </c>
      <c r="R147" s="6" t="inlineStr"/>
      <c r="S147" s="6" t="inlineStr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</row>
    <row r="148">
      <c r="A148" s="6" t="inlineStr">
        <is>
          <t>CarePoint Internal Medicine</t>
        </is>
      </c>
      <c r="B148" s="6" t="inlineStr">
        <is>
          <t>1205811627</t>
        </is>
      </c>
      <c r="C148" s="6" t="inlineStr">
        <is>
          <t>PCP</t>
        </is>
      </c>
      <c r="D148" s="6" t="inlineStr">
        <is>
          <t>Prospect</t>
        </is>
      </c>
      <c r="E148" s="6" t="inlineStr">
        <is>
          <t>Visit / Prospect</t>
        </is>
      </c>
      <c r="F148" s="6" t="n">
        <v>11</v>
      </c>
      <c r="G148" s="6" t="n">
        <v>0</v>
      </c>
      <c r="H148" s="6" t="inlineStr">
        <is>
          <t>0</t>
        </is>
      </c>
      <c r="I148" s="6" t="inlineStr">
        <is>
          <t>0</t>
        </is>
      </c>
      <c r="J148" s="6" t="inlineStr"/>
      <c r="K148" s="6" t="inlineStr">
        <is>
          <t>2026-07-13</t>
        </is>
      </c>
      <c r="L148" s="6" t="inlineStr">
        <is>
          <t>3</t>
        </is>
      </c>
      <c r="M148" s="6" t="n">
        <v/>
      </c>
      <c r="N148" s="6" t="inlineStr">
        <is>
          <t>45</t>
        </is>
      </c>
      <c r="O148" s="6" t="inlineStr">
        <is>
          <t>C-D26</t>
        </is>
      </c>
      <c r="P148" s="6" t="inlineStr">
        <is>
          <t>Troy</t>
        </is>
      </c>
      <c r="Q148" s="6" t="inlineStr">
        <is>
          <t>3290 West Big Beaver Road, ste 420, Troy, Michigan, 48084</t>
        </is>
      </c>
      <c r="R148" s="6" t="inlineStr"/>
      <c r="S148" s="6" t="inlineStr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>
      <c r="A149" s="6" t="inlineStr">
        <is>
          <t>Medpointe urgent care - St Clair Shores</t>
        </is>
      </c>
      <c r="B149" s="6" t="inlineStr">
        <is>
          <t>df493f72-e10c-457a-a51c-c0b760cf98a4</t>
        </is>
      </c>
      <c r="C149" s="6" t="inlineStr">
        <is>
          <t>Urgent Care</t>
        </is>
      </c>
      <c r="D149" s="6" t="inlineStr">
        <is>
          <t>Prospect</t>
        </is>
      </c>
      <c r="E149" s="6" t="inlineStr">
        <is>
          <t>Visit / Prospect</t>
        </is>
      </c>
      <c r="F149" s="6" t="n">
        <v>11</v>
      </c>
      <c r="G149" s="6" t="n">
        <v>0</v>
      </c>
      <c r="H149" s="6" t="inlineStr">
        <is>
          <t>0</t>
        </is>
      </c>
      <c r="I149" s="6" t="inlineStr">
        <is>
          <t>0</t>
        </is>
      </c>
      <c r="J149" s="6" t="inlineStr"/>
      <c r="K149" s="6" t="inlineStr">
        <is>
          <t>2026-06-18</t>
        </is>
      </c>
      <c r="L149" s="6" t="inlineStr">
        <is>
          <t>28</t>
        </is>
      </c>
      <c r="M149" s="6" t="n">
        <v/>
      </c>
      <c r="N149" s="6" t="inlineStr">
        <is>
          <t>45</t>
        </is>
      </c>
      <c r="O149" s="6" t="inlineStr">
        <is>
          <t>C-D27</t>
        </is>
      </c>
      <c r="P149" s="6" t="inlineStr">
        <is>
          <t>St. Clair Shores</t>
        </is>
      </c>
      <c r="Q149" s="6" t="inlineStr">
        <is>
          <t>31230 Harper Avenue, St. Clair Shores, Michigan, 48082</t>
        </is>
      </c>
      <c r="R149" s="6" t="inlineStr"/>
      <c r="S149" s="6" t="inlineStr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</row>
    <row r="150">
      <c r="A150" s="6" t="inlineStr">
        <is>
          <t>INTERNAL MEDICINE ASSOCIATES OF MICHIGAN, PC</t>
        </is>
      </c>
      <c r="B150" s="6" t="inlineStr">
        <is>
          <t>c0a3429e-a32c-4e10-9c63-39620fac46d2</t>
        </is>
      </c>
      <c r="C150" s="6" t="inlineStr">
        <is>
          <t>PCP</t>
        </is>
      </c>
      <c r="D150" s="6" t="inlineStr">
        <is>
          <t>Prospect</t>
        </is>
      </c>
      <c r="E150" s="6" t="inlineStr">
        <is>
          <t>Visit / Prospect</t>
        </is>
      </c>
      <c r="F150" s="6" t="n">
        <v>11</v>
      </c>
      <c r="G150" s="6" t="n">
        <v>0</v>
      </c>
      <c r="H150" s="6" t="inlineStr">
        <is>
          <t>0</t>
        </is>
      </c>
      <c r="I150" s="6" t="inlineStr">
        <is>
          <t>0</t>
        </is>
      </c>
      <c r="J150" s="6" t="inlineStr"/>
      <c r="K150" s="6" t="inlineStr">
        <is>
          <t>2026-07-06</t>
        </is>
      </c>
      <c r="L150" s="6" t="inlineStr">
        <is>
          <t>10</t>
        </is>
      </c>
      <c r="M150" s="6" t="n">
        <v/>
      </c>
      <c r="N150" s="6" t="inlineStr">
        <is>
          <t>45</t>
        </is>
      </c>
      <c r="O150" s="6" t="inlineStr">
        <is>
          <t>C-D29</t>
        </is>
      </c>
      <c r="P150" s="6" t="inlineStr">
        <is>
          <t>SOUTHGATE</t>
        </is>
      </c>
      <c r="Q150" s="6" t="inlineStr">
        <is>
          <t>15105 NORTHLINE RD, SOUTHGATE, MI, 48195</t>
        </is>
      </c>
      <c r="R150" s="6" t="inlineStr"/>
      <c r="S150" s="6" t="inlineStr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>
      <c r="A151" s="6" t="inlineStr">
        <is>
          <t>Corewell Health Taylor Hospital Family Medicine</t>
        </is>
      </c>
      <c r="B151" s="6" t="inlineStr">
        <is>
          <t>116ecff0-69a2-4ab9-86a0-22de7c1a6fec</t>
        </is>
      </c>
      <c r="C151" s="6" t="inlineStr">
        <is>
          <t>PCP</t>
        </is>
      </c>
      <c r="D151" s="6" t="inlineStr">
        <is>
          <t>Prospect</t>
        </is>
      </c>
      <c r="E151" s="6" t="inlineStr">
        <is>
          <t>Visit / Prospect</t>
        </is>
      </c>
      <c r="F151" s="6" t="n">
        <v>11</v>
      </c>
      <c r="G151" s="6" t="n">
        <v>0</v>
      </c>
      <c r="H151" s="6" t="inlineStr">
        <is>
          <t>0</t>
        </is>
      </c>
      <c r="I151" s="6" t="inlineStr">
        <is>
          <t>0</t>
        </is>
      </c>
      <c r="J151" s="6" t="inlineStr"/>
      <c r="K151" s="6" t="inlineStr">
        <is>
          <t>2026-07-02</t>
        </is>
      </c>
      <c r="L151" s="6" t="inlineStr">
        <is>
          <t>14</t>
        </is>
      </c>
      <c r="M151" s="6" t="n">
        <v/>
      </c>
      <c r="N151" s="6" t="inlineStr">
        <is>
          <t>45</t>
        </is>
      </c>
      <c r="O151" s="6" t="inlineStr">
        <is>
          <t>C-D29</t>
        </is>
      </c>
      <c r="P151" s="6" t="inlineStr">
        <is>
          <t>Southgate</t>
        </is>
      </c>
      <c r="Q151" s="6" t="inlineStr">
        <is>
          <t>15777 Northline Rd, Southgate, Michigan, 48195</t>
        </is>
      </c>
      <c r="R151" s="6" t="inlineStr"/>
      <c r="S151" s="6" t="inlineStr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</row>
    <row r="152">
      <c r="A152" s="6" t="inlineStr">
        <is>
          <t>Great Lakes Health and Wellness</t>
        </is>
      </c>
      <c r="B152" s="6" t="inlineStr">
        <is>
          <t>5bdf0e65-dfd7-47d2-8c99-2ca90d5315cd</t>
        </is>
      </c>
      <c r="C152" s="6" t="inlineStr">
        <is>
          <t>PCP</t>
        </is>
      </c>
      <c r="D152" s="6" t="inlineStr">
        <is>
          <t>Prospect</t>
        </is>
      </c>
      <c r="E152" s="6" t="inlineStr">
        <is>
          <t>Visit / Prospect</t>
        </is>
      </c>
      <c r="F152" s="6" t="n">
        <v>11</v>
      </c>
      <c r="G152" s="6" t="n">
        <v>0</v>
      </c>
      <c r="H152" s="6" t="inlineStr">
        <is>
          <t>0</t>
        </is>
      </c>
      <c r="I152" s="6" t="inlineStr">
        <is>
          <t>0</t>
        </is>
      </c>
      <c r="J152" s="6" t="inlineStr"/>
      <c r="K152" s="6" t="inlineStr">
        <is>
          <t>2026-07-14</t>
        </is>
      </c>
      <c r="L152" s="6" t="inlineStr">
        <is>
          <t>2</t>
        </is>
      </c>
      <c r="M152" s="6" t="n">
        <v/>
      </c>
      <c r="N152" s="6" t="inlineStr">
        <is>
          <t>45</t>
        </is>
      </c>
      <c r="O152" s="6" t="inlineStr">
        <is>
          <t>C-D29</t>
        </is>
      </c>
      <c r="P152" s="6" t="inlineStr">
        <is>
          <t>Taylor</t>
        </is>
      </c>
      <c r="Q152" s="6" t="inlineStr">
        <is>
          <t>12701 Telegraph Road, Taylor, Michigan, 48180</t>
        </is>
      </c>
      <c r="R152" s="6" t="inlineStr"/>
      <c r="S152" s="6" t="inlineStr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>
      <c r="A153" s="6" t="inlineStr">
        <is>
          <t>Trinity Health System Pain Institute</t>
        </is>
      </c>
      <c r="B153" s="6" t="inlineStr">
        <is>
          <t>987cb6d6-529f-4dd9-a2bf-fb65d73c5160</t>
        </is>
      </c>
      <c r="C153" s="6" t="inlineStr">
        <is>
          <t>Pain</t>
        </is>
      </c>
      <c r="D153" s="6" t="inlineStr">
        <is>
          <t>Prospect</t>
        </is>
      </c>
      <c r="E153" s="6" t="inlineStr">
        <is>
          <t>Visit / Prospect</t>
        </is>
      </c>
      <c r="F153" s="6" t="n">
        <v>11</v>
      </c>
      <c r="G153" s="6" t="n">
        <v>0</v>
      </c>
      <c r="H153" s="6" t="inlineStr">
        <is>
          <t>0</t>
        </is>
      </c>
      <c r="I153" s="6" t="inlineStr">
        <is>
          <t>0</t>
        </is>
      </c>
      <c r="J153" s="6" t="inlineStr"/>
      <c r="K153" s="6" t="inlineStr">
        <is>
          <t>2026-07-15</t>
        </is>
      </c>
      <c r="L153" s="6" t="inlineStr">
        <is>
          <t>1</t>
        </is>
      </c>
      <c r="M153" s="6" t="n">
        <v/>
      </c>
      <c r="N153" s="6" t="inlineStr">
        <is>
          <t>45</t>
        </is>
      </c>
      <c r="O153" s="6" t="inlineStr">
        <is>
          <t>C-D30</t>
        </is>
      </c>
      <c r="P153" s="6" t="inlineStr">
        <is>
          <t>Ypsilanti</t>
        </is>
      </c>
      <c r="Q153" s="6" t="inlineStr">
        <is>
          <t>5333 McAuley Dr ste 1000, Ypsilanti, Michigan, 48197</t>
        </is>
      </c>
      <c r="R153" s="6" t="inlineStr"/>
      <c r="S153" s="6" t="inlineStr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</row>
    <row r="154">
      <c r="A154" s="6" t="inlineStr">
        <is>
          <t>Millennium Orthopedics</t>
        </is>
      </c>
      <c r="B154" s="6" t="inlineStr">
        <is>
          <t>15be0813-4c02-407e-9cd2-a1a8c07ec4e7</t>
        </is>
      </c>
      <c r="C154" s="6" t="inlineStr">
        <is>
          <t>Orthopedic</t>
        </is>
      </c>
      <c r="D154" s="6" t="inlineStr">
        <is>
          <t>Prospect</t>
        </is>
      </c>
      <c r="E154" s="6" t="inlineStr">
        <is>
          <t>Visit / Prospect</t>
        </is>
      </c>
      <c r="F154" s="6" t="n">
        <v>11</v>
      </c>
      <c r="G154" s="6" t="n">
        <v>0</v>
      </c>
      <c r="H154" s="6" t="inlineStr">
        <is>
          <t>0</t>
        </is>
      </c>
      <c r="I154" s="6" t="inlineStr">
        <is>
          <t>0</t>
        </is>
      </c>
      <c r="J154" s="6" t="inlineStr"/>
      <c r="K154" s="6" t="inlineStr">
        <is>
          <t>2026-07-08</t>
        </is>
      </c>
      <c r="L154" s="6" t="inlineStr">
        <is>
          <t>8</t>
        </is>
      </c>
      <c r="M154" s="6" t="n">
        <v/>
      </c>
      <c r="N154" s="6" t="inlineStr">
        <is>
          <t>45</t>
        </is>
      </c>
      <c r="O154" s="6" t="inlineStr">
        <is>
          <t>C-D31</t>
        </is>
      </c>
      <c r="P154" s="6" t="inlineStr">
        <is>
          <t>FARMINGTON HILLS</t>
        </is>
      </c>
      <c r="Q154" s="6" t="inlineStr">
        <is>
          <t>32255 NORTHWESTERN HWY STE 100, FARMINGTON HILLS, Michigan, 48334</t>
        </is>
      </c>
      <c r="R154" s="6" t="inlineStr"/>
      <c r="S154" s="6" t="inlineStr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>
      <c r="A155" s="6" t="inlineStr">
        <is>
          <t>Tri County Pain Consultants</t>
        </is>
      </c>
      <c r="B155" s="6" t="inlineStr">
        <is>
          <t>40ddb048-cf4c-463b-906a-170a28abd32d</t>
        </is>
      </c>
      <c r="C155" s="6" t="inlineStr">
        <is>
          <t>Orthopedic</t>
        </is>
      </c>
      <c r="D155" s="6" t="inlineStr">
        <is>
          <t>Prospect</t>
        </is>
      </c>
      <c r="E155" s="6" t="inlineStr">
        <is>
          <t>Visit / Prospect</t>
        </is>
      </c>
      <c r="F155" s="6" t="n">
        <v>11</v>
      </c>
      <c r="G155" s="6" t="n">
        <v>0</v>
      </c>
      <c r="H155" s="6" t="inlineStr">
        <is>
          <t>0</t>
        </is>
      </c>
      <c r="I155" s="6" t="inlineStr">
        <is>
          <t>0</t>
        </is>
      </c>
      <c r="J155" s="6" t="inlineStr"/>
      <c r="K155" s="6" t="inlineStr">
        <is>
          <t>2026-07-08</t>
        </is>
      </c>
      <c r="L155" s="6" t="inlineStr">
        <is>
          <t>8</t>
        </is>
      </c>
      <c r="M155" s="6" t="n">
        <v/>
      </c>
      <c r="N155" s="6" t="inlineStr">
        <is>
          <t>45</t>
        </is>
      </c>
      <c r="O155" s="6" t="inlineStr">
        <is>
          <t>C-D31</t>
        </is>
      </c>
      <c r="P155" s="6" t="inlineStr">
        <is>
          <t>FARMINGTON HILLS</t>
        </is>
      </c>
      <c r="Q155" s="6" t="inlineStr">
        <is>
          <t>32255 NORTHWESTERN HWY STE 165, FARMINGTON HILLS, Michigan, 48334</t>
        </is>
      </c>
      <c r="R155" s="6" t="inlineStr"/>
      <c r="S155" s="6" t="inlineStr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</row>
    <row r="156">
      <c r="A156" s="6" t="inlineStr">
        <is>
          <t>Spine &amp; Brain Surgery Specialists</t>
        </is>
      </c>
      <c r="B156" s="6" t="inlineStr">
        <is>
          <t>4c1b7fe8-a5c4-417f-bee6-92fae75a3c35</t>
        </is>
      </c>
      <c r="C156" s="6" t="inlineStr">
        <is>
          <t>Orthopedic</t>
        </is>
      </c>
      <c r="D156" s="6" t="inlineStr">
        <is>
          <t>Prospect</t>
        </is>
      </c>
      <c r="E156" s="6" t="inlineStr">
        <is>
          <t>Visit / Prospect</t>
        </is>
      </c>
      <c r="F156" s="6" t="n">
        <v>11</v>
      </c>
      <c r="G156" s="6" t="n">
        <v>0</v>
      </c>
      <c r="H156" s="6" t="inlineStr">
        <is>
          <t>0</t>
        </is>
      </c>
      <c r="I156" s="6" t="inlineStr">
        <is>
          <t>0</t>
        </is>
      </c>
      <c r="J156" s="6" t="inlineStr"/>
      <c r="K156" s="6" t="inlineStr">
        <is>
          <t>2026-06-17</t>
        </is>
      </c>
      <c r="L156" s="6" t="inlineStr">
        <is>
          <t>29</t>
        </is>
      </c>
      <c r="M156" s="6" t="n">
        <v/>
      </c>
      <c r="N156" s="6" t="inlineStr">
        <is>
          <t>45</t>
        </is>
      </c>
      <c r="O156" s="6" t="inlineStr">
        <is>
          <t>C-D31</t>
        </is>
      </c>
      <c r="P156" s="6" t="inlineStr">
        <is>
          <t>Royal Oak</t>
        </is>
      </c>
      <c r="Q156" s="6" t="inlineStr">
        <is>
          <t>30701 Woodward Ave suite S301, Royal Oak, Michigan, 48073</t>
        </is>
      </c>
      <c r="R156" s="6" t="inlineStr"/>
      <c r="S156" s="6" t="inlineStr">
        <is>
          <t>Ortho group w/ in-house spine? verify (Jul 20 rule) → Review for removal</t>
        </is>
      </c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>
      <c r="A157" s="6" t="inlineStr">
        <is>
          <t>Poley Sports Medicine</t>
        </is>
      </c>
      <c r="B157" s="6" t="inlineStr">
        <is>
          <t>9bcc1288-88f8-4366-89d5-1954358b0abb</t>
        </is>
      </c>
      <c r="C157" s="6" t="inlineStr">
        <is>
          <t>Orthopedic</t>
        </is>
      </c>
      <c r="D157" s="6" t="inlineStr">
        <is>
          <t>Prospect</t>
        </is>
      </c>
      <c r="E157" s="6" t="inlineStr">
        <is>
          <t>Visit / Prospect</t>
        </is>
      </c>
      <c r="F157" s="6" t="n">
        <v>11</v>
      </c>
      <c r="G157" s="6" t="n">
        <v>0</v>
      </c>
      <c r="H157" s="6" t="inlineStr">
        <is>
          <t>0</t>
        </is>
      </c>
      <c r="I157" s="6" t="inlineStr">
        <is>
          <t>0</t>
        </is>
      </c>
      <c r="J157" s="6" t="inlineStr"/>
      <c r="K157" s="6" t="inlineStr">
        <is>
          <t>2026-06-23</t>
        </is>
      </c>
      <c r="L157" s="6" t="inlineStr">
        <is>
          <t>23</t>
        </is>
      </c>
      <c r="M157" s="6" t="n">
        <v/>
      </c>
      <c r="N157" s="6" t="inlineStr">
        <is>
          <t>45</t>
        </is>
      </c>
      <c r="O157" s="6" t="inlineStr">
        <is>
          <t>C-D32</t>
        </is>
      </c>
      <c r="P157" s="6" t="inlineStr">
        <is>
          <t>Rochester Hills</t>
        </is>
      </c>
      <c r="Q157" s="6" t="inlineStr">
        <is>
          <t>1701 E South Blvd, Rochester Hills, Michigan, 48307</t>
        </is>
      </c>
      <c r="R157" s="6" t="inlineStr"/>
      <c r="S157" s="6" t="inlineStr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</row>
    <row r="158">
      <c r="A158" s="6" t="inlineStr">
        <is>
          <t>Prism Medical Group - Family Medicine Ste 160</t>
        </is>
      </c>
      <c r="B158" s="6" t="inlineStr">
        <is>
          <t>302f7a03-fbf7-4ffa-ad89-f1a3c3c580c1</t>
        </is>
      </c>
      <c r="C158" s="6" t="inlineStr">
        <is>
          <t>PCP</t>
        </is>
      </c>
      <c r="D158" s="6" t="inlineStr">
        <is>
          <t>Prospect</t>
        </is>
      </c>
      <c r="E158" s="6" t="inlineStr">
        <is>
          <t>Visit / Prospect</t>
        </is>
      </c>
      <c r="F158" s="6" t="n">
        <v>11</v>
      </c>
      <c r="G158" s="6" t="n">
        <v>0</v>
      </c>
      <c r="H158" s="6" t="inlineStr">
        <is>
          <t>0</t>
        </is>
      </c>
      <c r="I158" s="6" t="inlineStr">
        <is>
          <t>0</t>
        </is>
      </c>
      <c r="J158" s="6" t="inlineStr"/>
      <c r="K158" s="6" t="inlineStr">
        <is>
          <t>2026-06-23</t>
        </is>
      </c>
      <c r="L158" s="6" t="inlineStr">
        <is>
          <t>23</t>
        </is>
      </c>
      <c r="M158" s="6" t="n">
        <v/>
      </c>
      <c r="N158" s="6" t="inlineStr">
        <is>
          <t>45</t>
        </is>
      </c>
      <c r="O158" s="6" t="inlineStr">
        <is>
          <t>C-D32</t>
        </is>
      </c>
      <c r="P158" s="6" t="inlineStr">
        <is>
          <t>Rochester Hills</t>
        </is>
      </c>
      <c r="Q158" s="6" t="inlineStr">
        <is>
          <t>1701 E South Blvd ste 160, Rochester Hills, Michigan, 48307</t>
        </is>
      </c>
      <c r="R158" s="6" t="inlineStr"/>
      <c r="S158" s="6" t="inlineStr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>
      <c r="A159" s="6" t="inlineStr">
        <is>
          <t>Silver Pine Medical Group Chesterfield</t>
        </is>
      </c>
      <c r="B159" s="6" t="inlineStr">
        <is>
          <t>43c9c4e0-b552-4969-99f6-413f7f3384a9</t>
        </is>
      </c>
      <c r="C159" s="6" t="inlineStr">
        <is>
          <t>PCP</t>
        </is>
      </c>
      <c r="D159" s="6" t="inlineStr">
        <is>
          <t>Prospect</t>
        </is>
      </c>
      <c r="E159" s="6" t="inlineStr">
        <is>
          <t>Visit / Prospect</t>
        </is>
      </c>
      <c r="F159" s="6" t="n">
        <v>10</v>
      </c>
      <c r="G159" s="6" t="n">
        <v>0</v>
      </c>
      <c r="H159" s="6" t="inlineStr">
        <is>
          <t>0</t>
        </is>
      </c>
      <c r="I159" s="6" t="inlineStr">
        <is>
          <t>0</t>
        </is>
      </c>
      <c r="J159" s="6" t="inlineStr"/>
      <c r="K159" s="6" t="inlineStr">
        <is>
          <t>2026-05-19</t>
        </is>
      </c>
      <c r="L159" s="6" t="inlineStr">
        <is>
          <t>58</t>
        </is>
      </c>
      <c r="M159" s="6" t="n">
        <v/>
      </c>
      <c r="N159" s="6" t="inlineStr">
        <is>
          <t>45</t>
        </is>
      </c>
      <c r="O159" s="6" t="inlineStr">
        <is>
          <t>C-D02</t>
        </is>
      </c>
      <c r="P159" s="6" t="inlineStr">
        <is>
          <t>New Baltimore</t>
        </is>
      </c>
      <c r="Q159" s="6" t="inlineStr">
        <is>
          <t>31225 23 Mile Rd, New Baltimore, Michigan, 48047</t>
        </is>
      </c>
      <c r="R159" s="6" t="inlineStr"/>
      <c r="S159" s="6" t="inlineStr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</row>
    <row r="160">
      <c r="A160" s="6" t="inlineStr">
        <is>
          <t>Anchor Bay Clinic Family Medical Center</t>
        </is>
      </c>
      <c r="B160" s="6" t="inlineStr">
        <is>
          <t>96903a48-13a7-42e0-8f5e-a56cce365ea5</t>
        </is>
      </c>
      <c r="C160" s="6" t="inlineStr">
        <is>
          <t>PCP</t>
        </is>
      </c>
      <c r="D160" s="6" t="inlineStr">
        <is>
          <t>Prospect</t>
        </is>
      </c>
      <c r="E160" s="6" t="inlineStr">
        <is>
          <t>Visit / Prospect</t>
        </is>
      </c>
      <c r="F160" s="6" t="n">
        <v>10</v>
      </c>
      <c r="G160" s="6" t="n">
        <v>0</v>
      </c>
      <c r="H160" s="6" t="inlineStr">
        <is>
          <t>0</t>
        </is>
      </c>
      <c r="I160" s="6" t="inlineStr">
        <is>
          <t>0</t>
        </is>
      </c>
      <c r="J160" s="6" t="inlineStr"/>
      <c r="K160" s="6" t="inlineStr">
        <is>
          <t>2026-05-19</t>
        </is>
      </c>
      <c r="L160" s="6" t="inlineStr">
        <is>
          <t>58</t>
        </is>
      </c>
      <c r="M160" s="6" t="n">
        <v/>
      </c>
      <c r="N160" s="6" t="inlineStr">
        <is>
          <t>45</t>
        </is>
      </c>
      <c r="O160" s="6" t="inlineStr">
        <is>
          <t>C-D02</t>
        </is>
      </c>
      <c r="P160" s="6" t="inlineStr">
        <is>
          <t>New Baltimore</t>
        </is>
      </c>
      <c r="Q160" s="6" t="inlineStr">
        <is>
          <t>32901 23 Mile Rd ste 100, New Baltimore, Michigan, 48047</t>
        </is>
      </c>
      <c r="R160" s="6" t="inlineStr"/>
      <c r="S160" s="6" t="inlineStr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>
      <c r="A161" s="6" t="inlineStr">
        <is>
          <t>Eastside Surgical Associates</t>
        </is>
      </c>
      <c r="B161" s="6" t="inlineStr">
        <is>
          <t>76edf894-7297-4aa7-af64-6b116e13aa3a</t>
        </is>
      </c>
      <c r="C161" s="6" t="inlineStr">
        <is>
          <t>Orthopedic</t>
        </is>
      </c>
      <c r="D161" s="6" t="inlineStr">
        <is>
          <t>Prospect</t>
        </is>
      </c>
      <c r="E161" s="6" t="inlineStr">
        <is>
          <t>Visit / Prospect</t>
        </is>
      </c>
      <c r="F161" s="6" t="n">
        <v>10</v>
      </c>
      <c r="G161" s="6" t="n">
        <v>0</v>
      </c>
      <c r="H161" s="6" t="inlineStr">
        <is>
          <t>0</t>
        </is>
      </c>
      <c r="I161" s="6" t="inlineStr">
        <is>
          <t>0</t>
        </is>
      </c>
      <c r="J161" s="6" t="inlineStr"/>
      <c r="K161" s="6" t="inlineStr">
        <is>
          <t>2026-05-07</t>
        </is>
      </c>
      <c r="L161" s="6" t="inlineStr">
        <is>
          <t>70</t>
        </is>
      </c>
      <c r="M161" s="6" t="n">
        <v/>
      </c>
      <c r="N161" s="6" t="inlineStr">
        <is>
          <t>45</t>
        </is>
      </c>
      <c r="O161" s="6" t="inlineStr">
        <is>
          <t>C-D02</t>
        </is>
      </c>
      <c r="P161" s="6" t="inlineStr">
        <is>
          <t>New Baltimore</t>
        </is>
      </c>
      <c r="Q161" s="6" t="inlineStr">
        <is>
          <t>36750 26 Mile Rd, ste 240, New Baltimore, Michigan, 48047</t>
        </is>
      </c>
      <c r="R161" s="6" t="inlineStr"/>
      <c r="S161" s="6" t="inlineStr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</row>
    <row r="162">
      <c r="A162" s="6" t="inlineStr">
        <is>
          <t>Berkley Primary Care</t>
        </is>
      </c>
      <c r="B162" s="6" t="inlineStr">
        <is>
          <t>ccf33cc6-8519-40b6-9e5b-fb3167a271ba</t>
        </is>
      </c>
      <c r="C162" s="6" t="inlineStr">
        <is>
          <t>PCP</t>
        </is>
      </c>
      <c r="D162" s="6" t="inlineStr">
        <is>
          <t>Prospect</t>
        </is>
      </c>
      <c r="E162" s="6" t="inlineStr">
        <is>
          <t>Visit / Prospect</t>
        </is>
      </c>
      <c r="F162" s="6" t="n">
        <v>10</v>
      </c>
      <c r="G162" s="6" t="n">
        <v>0</v>
      </c>
      <c r="H162" s="6" t="inlineStr">
        <is>
          <t>0</t>
        </is>
      </c>
      <c r="I162" s="6" t="inlineStr">
        <is>
          <t>0</t>
        </is>
      </c>
      <c r="J162" s="6" t="inlineStr"/>
      <c r="K162" s="6" t="inlineStr">
        <is>
          <t>2026-06-17</t>
        </is>
      </c>
      <c r="L162" s="6" t="inlineStr">
        <is>
          <t>29</t>
        </is>
      </c>
      <c r="M162" s="6" t="n">
        <v/>
      </c>
      <c r="N162" s="6" t="inlineStr">
        <is>
          <t>45</t>
        </is>
      </c>
      <c r="O162" s="6" t="inlineStr">
        <is>
          <t>C-D03</t>
        </is>
      </c>
      <c r="P162" s="6" t="inlineStr">
        <is>
          <t>Huntington Woods</t>
        </is>
      </c>
      <c r="Q162" s="6" t="inlineStr">
        <is>
          <t>26711 Woodward Ave, ste 103, Huntington Woods, MI, 48070</t>
        </is>
      </c>
      <c r="R162" s="6" t="inlineStr"/>
      <c r="S162" s="6" t="inlineStr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>
      <c r="A163" s="6" t="inlineStr">
        <is>
          <t>Oak Street Health – Hazel Park</t>
        </is>
      </c>
      <c r="B163" s="6" t="inlineStr">
        <is>
          <t>e3a99c41-ef87-4be9-8e02-1ca4d4db2c36</t>
        </is>
      </c>
      <c r="C163" s="6" t="inlineStr">
        <is>
          <t>PCP</t>
        </is>
      </c>
      <c r="D163" s="6" t="inlineStr">
        <is>
          <t>Prospect</t>
        </is>
      </c>
      <c r="E163" s="6" t="inlineStr">
        <is>
          <t>Visit / Prospect</t>
        </is>
      </c>
      <c r="F163" s="6" t="n">
        <v>10</v>
      </c>
      <c r="G163" s="6" t="n">
        <v>0</v>
      </c>
      <c r="H163" s="6" t="inlineStr">
        <is>
          <t>0</t>
        </is>
      </c>
      <c r="I163" s="6" t="inlineStr">
        <is>
          <t>0</t>
        </is>
      </c>
      <c r="J163" s="6" t="inlineStr"/>
      <c r="K163" s="6" t="inlineStr">
        <is>
          <t>2026-06-24</t>
        </is>
      </c>
      <c r="L163" s="6" t="inlineStr">
        <is>
          <t>22</t>
        </is>
      </c>
      <c r="M163" s="6" t="n">
        <v/>
      </c>
      <c r="N163" s="6" t="inlineStr">
        <is>
          <t>45</t>
        </is>
      </c>
      <c r="O163" s="6" t="inlineStr">
        <is>
          <t>C-D03</t>
        </is>
      </c>
      <c r="P163" s="6" t="inlineStr">
        <is>
          <t>Hazel Park</t>
        </is>
      </c>
      <c r="Q163" s="6" t="inlineStr">
        <is>
          <t>1142 E 9 Mile Rd, Hazel Park, Michigan, 48030</t>
        </is>
      </c>
      <c r="R163" s="6" t="inlineStr"/>
      <c r="S163" s="6" t="inlineStr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</row>
    <row r="164">
      <c r="A164" s="6" t="inlineStr">
        <is>
          <t>MHP Orthopedics - Madison Heights</t>
        </is>
      </c>
      <c r="B164" s="6" t="inlineStr">
        <is>
          <t>6772a157-179b-472b-8b92-8c0068cdc5ec</t>
        </is>
      </c>
      <c r="C164" s="6" t="inlineStr">
        <is>
          <t>Orthopedic</t>
        </is>
      </c>
      <c r="D164" s="6" t="inlineStr">
        <is>
          <t>Prospect</t>
        </is>
      </c>
      <c r="E164" s="6" t="inlineStr">
        <is>
          <t>Visit / Prospect</t>
        </is>
      </c>
      <c r="F164" s="6" t="n">
        <v>10</v>
      </c>
      <c r="G164" s="6" t="n">
        <v>0</v>
      </c>
      <c r="H164" s="6" t="inlineStr">
        <is>
          <t>0</t>
        </is>
      </c>
      <c r="I164" s="6" t="inlineStr">
        <is>
          <t>0</t>
        </is>
      </c>
      <c r="J164" s="6" t="inlineStr"/>
      <c r="K164" s="6" t="inlineStr">
        <is>
          <t>2026-06-01</t>
        </is>
      </c>
      <c r="L164" s="6" t="inlineStr">
        <is>
          <t>45</t>
        </is>
      </c>
      <c r="M164" s="6" t="n">
        <v/>
      </c>
      <c r="N164" s="6" t="inlineStr">
        <is>
          <t>45</t>
        </is>
      </c>
      <c r="O164" s="6" t="inlineStr">
        <is>
          <t>C-D03</t>
        </is>
      </c>
      <c r="P164" s="6" t="inlineStr">
        <is>
          <t>Madison Heights</t>
        </is>
      </c>
      <c r="Q164" s="6" t="inlineStr">
        <is>
          <t>27483 Dequindre Rd suite 306, Madison Heights, Michigan, 48071</t>
        </is>
      </c>
      <c r="R164" s="6" t="inlineStr"/>
      <c r="S164" s="6" t="inlineStr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>
      <c r="A165" s="6" t="inlineStr">
        <is>
          <t>James MacKenzie MD</t>
        </is>
      </c>
      <c r="B165" s="6" t="inlineStr">
        <is>
          <t>de0072d8-2ca1-4e11-b11d-1fa82185fd49</t>
        </is>
      </c>
      <c r="C165" s="6" t="inlineStr">
        <is>
          <t>PCP</t>
        </is>
      </c>
      <c r="D165" s="6" t="inlineStr">
        <is>
          <t>Prospect</t>
        </is>
      </c>
      <c r="E165" s="6" t="inlineStr">
        <is>
          <t>Visit / Prospect</t>
        </is>
      </c>
      <c r="F165" s="6" t="n">
        <v>10</v>
      </c>
      <c r="G165" s="6" t="n">
        <v>0</v>
      </c>
      <c r="H165" s="6" t="inlineStr">
        <is>
          <t>0</t>
        </is>
      </c>
      <c r="I165" s="6" t="inlineStr">
        <is>
          <t>0</t>
        </is>
      </c>
      <c r="J165" s="6" t="inlineStr"/>
      <c r="K165" s="6" t="inlineStr">
        <is>
          <t>2026-07-01</t>
        </is>
      </c>
      <c r="L165" s="6" t="inlineStr">
        <is>
          <t>15</t>
        </is>
      </c>
      <c r="M165" s="6" t="n">
        <v/>
      </c>
      <c r="N165" s="6" t="inlineStr">
        <is>
          <t>45</t>
        </is>
      </c>
      <c r="O165" s="6" t="inlineStr">
        <is>
          <t>C-D04</t>
        </is>
      </c>
      <c r="P165" s="6" t="inlineStr">
        <is>
          <t>Troy</t>
        </is>
      </c>
      <c r="Q165" s="6" t="inlineStr">
        <is>
          <t>1380 Coolidge Hwy ste 100, Troy, Michigan, 48084</t>
        </is>
      </c>
      <c r="R165" s="6" t="inlineStr"/>
      <c r="S165" s="6" t="inlineStr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</row>
    <row r="166">
      <c r="A166" s="6" t="inlineStr">
        <is>
          <t>Ahad MD</t>
        </is>
      </c>
      <c r="B166" s="6" t="inlineStr">
        <is>
          <t>f7a0c634-faf6-47d9-b4ce-461de261ee86</t>
        </is>
      </c>
      <c r="C166" s="6" t="inlineStr">
        <is>
          <t>PCP</t>
        </is>
      </c>
      <c r="D166" s="6" t="inlineStr">
        <is>
          <t>Prospect</t>
        </is>
      </c>
      <c r="E166" s="6" t="inlineStr">
        <is>
          <t>Visit / Prospect</t>
        </is>
      </c>
      <c r="F166" s="6" t="n">
        <v>10</v>
      </c>
      <c r="G166" s="6" t="n">
        <v>0</v>
      </c>
      <c r="H166" s="6" t="inlineStr">
        <is>
          <t>0</t>
        </is>
      </c>
      <c r="I166" s="6" t="inlineStr">
        <is>
          <t>0</t>
        </is>
      </c>
      <c r="J166" s="6" t="inlineStr"/>
      <c r="K166" s="6" t="inlineStr">
        <is>
          <t>2026-06-29</t>
        </is>
      </c>
      <c r="L166" s="6" t="inlineStr">
        <is>
          <t>17</t>
        </is>
      </c>
      <c r="M166" s="6" t="n">
        <v/>
      </c>
      <c r="N166" s="6" t="inlineStr">
        <is>
          <t>45</t>
        </is>
      </c>
      <c r="O166" s="6" t="inlineStr">
        <is>
          <t>C-D04</t>
        </is>
      </c>
      <c r="P166" s="6" t="inlineStr">
        <is>
          <t>Troy</t>
        </is>
      </c>
      <c r="Q166" s="6" t="inlineStr">
        <is>
          <t>1380 Coolidge Hwy suite 250, Troy, Michigan, 48084</t>
        </is>
      </c>
      <c r="R166" s="6" t="inlineStr"/>
      <c r="S166" s="6" t="inlineStr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>
      <c r="A167" s="6" t="inlineStr">
        <is>
          <t>Associated Physicians Group</t>
        </is>
      </c>
      <c r="B167" s="6" t="inlineStr">
        <is>
          <t>e6a683fe-f991-45a4-a323-6788ed1aeed2</t>
        </is>
      </c>
      <c r="C167" s="6" t="inlineStr">
        <is>
          <t>PCP</t>
        </is>
      </c>
      <c r="D167" s="6" t="inlineStr">
        <is>
          <t>Prospect</t>
        </is>
      </c>
      <c r="E167" s="6" t="inlineStr">
        <is>
          <t>Visit / Prospect</t>
        </is>
      </c>
      <c r="F167" s="6" t="n">
        <v>10</v>
      </c>
      <c r="G167" s="6" t="n">
        <v>0</v>
      </c>
      <c r="H167" s="6" t="inlineStr">
        <is>
          <t>0</t>
        </is>
      </c>
      <c r="I167" s="6" t="inlineStr">
        <is>
          <t>0</t>
        </is>
      </c>
      <c r="J167" s="6" t="inlineStr"/>
      <c r="K167" s="6" t="inlineStr">
        <is>
          <t>2026-06-17</t>
        </is>
      </c>
      <c r="L167" s="6" t="inlineStr">
        <is>
          <t>29</t>
        </is>
      </c>
      <c r="M167" s="6" t="n">
        <v/>
      </c>
      <c r="N167" s="6" t="inlineStr">
        <is>
          <t>45</t>
        </is>
      </c>
      <c r="O167" s="6" t="inlineStr">
        <is>
          <t>C-D04</t>
        </is>
      </c>
      <c r="P167" s="6" t="inlineStr">
        <is>
          <t>Berkley</t>
        </is>
      </c>
      <c r="Q167" s="6" t="inlineStr">
        <is>
          <t>1695 Twelve Mile Rd ste 200, Berkley, Michigan, 48072</t>
        </is>
      </c>
      <c r="R167" s="6" t="inlineStr"/>
      <c r="S167" s="6" t="inlineStr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</row>
    <row r="168">
      <c r="A168" s="6" t="inlineStr">
        <is>
          <t>Shorepointe Family Physicians - St. Clair Shores</t>
        </is>
      </c>
      <c r="B168" s="6" t="inlineStr">
        <is>
          <t>1154437416</t>
        </is>
      </c>
      <c r="C168" s="6" t="inlineStr">
        <is>
          <t>PCP</t>
        </is>
      </c>
      <c r="D168" s="6" t="inlineStr">
        <is>
          <t>Prospect</t>
        </is>
      </c>
      <c r="E168" s="6" t="inlineStr">
        <is>
          <t>Visit / Prospect</t>
        </is>
      </c>
      <c r="F168" s="6" t="n">
        <v>10</v>
      </c>
      <c r="G168" s="6" t="n">
        <v>0</v>
      </c>
      <c r="H168" s="6" t="inlineStr">
        <is>
          <t>0</t>
        </is>
      </c>
      <c r="I168" s="6" t="inlineStr">
        <is>
          <t>0</t>
        </is>
      </c>
      <c r="J168" s="6" t="inlineStr"/>
      <c r="K168" s="6" t="inlineStr">
        <is>
          <t>2026-06-04</t>
        </is>
      </c>
      <c r="L168" s="6" t="inlineStr">
        <is>
          <t>42</t>
        </is>
      </c>
      <c r="M168" s="6" t="n">
        <v/>
      </c>
      <c r="N168" s="6" t="inlineStr">
        <is>
          <t>45</t>
        </is>
      </c>
      <c r="O168" s="6" t="inlineStr">
        <is>
          <t>C-D06</t>
        </is>
      </c>
      <c r="P168" s="6" t="inlineStr">
        <is>
          <t>St Clair Shores</t>
        </is>
      </c>
      <c r="Q168" s="6" t="inlineStr">
        <is>
          <t>22646 East 9 Mile Road, Suite A, St Clair Shores, MI, 48080</t>
        </is>
      </c>
      <c r="R168" s="6" t="inlineStr"/>
      <c r="S168" s="6" t="inlineStr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>
      <c r="A169" s="6" t="inlineStr">
        <is>
          <t>Faye Maribao MD</t>
        </is>
      </c>
      <c r="B169" s="6" t="inlineStr">
        <is>
          <t>2172a4d0-c6b7-4ef0-9ff2-813edfc3926f</t>
        </is>
      </c>
      <c r="C169" s="6" t="inlineStr">
        <is>
          <t>PCP</t>
        </is>
      </c>
      <c r="D169" s="6" t="inlineStr">
        <is>
          <t>Prospect</t>
        </is>
      </c>
      <c r="E169" s="6" t="inlineStr">
        <is>
          <t>Visit / Prospect</t>
        </is>
      </c>
      <c r="F169" s="6" t="n">
        <v>10</v>
      </c>
      <c r="G169" s="6" t="n">
        <v>0</v>
      </c>
      <c r="H169" s="6" t="inlineStr">
        <is>
          <t>0</t>
        </is>
      </c>
      <c r="I169" s="6" t="inlineStr">
        <is>
          <t>0</t>
        </is>
      </c>
      <c r="J169" s="6" t="inlineStr"/>
      <c r="K169" s="6" t="inlineStr">
        <is>
          <t>2026-07-09</t>
        </is>
      </c>
      <c r="L169" s="6" t="inlineStr">
        <is>
          <t>7</t>
        </is>
      </c>
      <c r="M169" s="6" t="n">
        <v/>
      </c>
      <c r="N169" s="6" t="inlineStr">
        <is>
          <t>45</t>
        </is>
      </c>
      <c r="O169" s="6" t="inlineStr">
        <is>
          <t>C-D06</t>
        </is>
      </c>
      <c r="P169" s="6" t="inlineStr">
        <is>
          <t>St. Clair Shores</t>
        </is>
      </c>
      <c r="Q169" s="6" t="inlineStr">
        <is>
          <t>22790 Harper Ave ste c St Clair Shores, St. Clair Shores, Michigan, 48080</t>
        </is>
      </c>
      <c r="R169" s="6" t="inlineStr"/>
      <c r="S169" s="6" t="inlineStr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</row>
    <row r="170">
      <c r="A170" s="6" t="inlineStr">
        <is>
          <t>Bi-County Physicians</t>
        </is>
      </c>
      <c r="B170" s="6" t="inlineStr">
        <is>
          <t>4efcc794-5368-4521-bd8a-152d222c2254</t>
        </is>
      </c>
      <c r="C170" s="6" t="inlineStr">
        <is>
          <t>PCP</t>
        </is>
      </c>
      <c r="D170" s="6" t="inlineStr">
        <is>
          <t>Prospect</t>
        </is>
      </c>
      <c r="E170" s="6" t="inlineStr">
        <is>
          <t>Visit / Prospect</t>
        </is>
      </c>
      <c r="F170" s="6" t="n">
        <v>10</v>
      </c>
      <c r="G170" s="6" t="n">
        <v>0</v>
      </c>
      <c r="H170" s="6" t="inlineStr">
        <is>
          <t>0</t>
        </is>
      </c>
      <c r="I170" s="6" t="inlineStr">
        <is>
          <t>0</t>
        </is>
      </c>
      <c r="J170" s="6" t="inlineStr"/>
      <c r="K170" s="6" t="inlineStr">
        <is>
          <t>2026-06-11</t>
        </is>
      </c>
      <c r="L170" s="6" t="inlineStr">
        <is>
          <t>35</t>
        </is>
      </c>
      <c r="M170" s="6" t="n">
        <v/>
      </c>
      <c r="N170" s="6" t="inlineStr">
        <is>
          <t>45</t>
        </is>
      </c>
      <c r="O170" s="6" t="inlineStr">
        <is>
          <t>C-D06</t>
        </is>
      </c>
      <c r="P170" s="6" t="inlineStr">
        <is>
          <t>St. Clair Shores</t>
        </is>
      </c>
      <c r="Q170" s="6" t="inlineStr">
        <is>
          <t>21600 Harper ste 100, St. Clair Shores, Michigan, 48080</t>
        </is>
      </c>
      <c r="R170" s="6" t="inlineStr"/>
      <c r="S170" s="6" t="inlineStr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>
      <c r="A171" s="6" t="inlineStr">
        <is>
          <t>Washington Family Medicine</t>
        </is>
      </c>
      <c r="B171" s="6" t="inlineStr">
        <is>
          <t>7cad9994-b92b-43ee-a2f4-b18218515b2d</t>
        </is>
      </c>
      <c r="C171" s="6" t="inlineStr">
        <is>
          <t>PCP</t>
        </is>
      </c>
      <c r="D171" s="6" t="inlineStr">
        <is>
          <t>Prospect</t>
        </is>
      </c>
      <c r="E171" s="6" t="inlineStr">
        <is>
          <t>Visit / Prospect</t>
        </is>
      </c>
      <c r="F171" s="6" t="n">
        <v>10</v>
      </c>
      <c r="G171" s="6" t="n">
        <v>0</v>
      </c>
      <c r="H171" s="6" t="inlineStr">
        <is>
          <t>0</t>
        </is>
      </c>
      <c r="I171" s="6" t="inlineStr">
        <is>
          <t>0</t>
        </is>
      </c>
      <c r="J171" s="6" t="inlineStr"/>
      <c r="K171" s="6" t="inlineStr">
        <is>
          <t>2026-05-07</t>
        </is>
      </c>
      <c r="L171" s="6" t="inlineStr">
        <is>
          <t>70</t>
        </is>
      </c>
      <c r="M171" s="6" t="n">
        <v/>
      </c>
      <c r="N171" s="6" t="inlineStr">
        <is>
          <t>45</t>
        </is>
      </c>
      <c r="O171" s="6" t="inlineStr">
        <is>
          <t>C-D07</t>
        </is>
      </c>
      <c r="P171" s="6" t="inlineStr">
        <is>
          <t>Shelby Township</t>
        </is>
      </c>
      <c r="Q171" s="6" t="inlineStr">
        <is>
          <t>8180 26 Mile Rd suite 100, Shelby Township, Michigan, 48316</t>
        </is>
      </c>
      <c r="R171" s="6" t="inlineStr"/>
      <c r="S171" s="6" t="inlineStr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</row>
    <row r="172">
      <c r="A172" s="6" t="inlineStr">
        <is>
          <t>Neuro Pain Consultants - Shelby</t>
        </is>
      </c>
      <c r="B172" s="6" t="inlineStr">
        <is>
          <t>b1803bd8-c8ae-44c1-9f01-c4ad0f812ef5</t>
        </is>
      </c>
      <c r="C172" s="6" t="inlineStr">
        <is>
          <t>Pain</t>
        </is>
      </c>
      <c r="D172" s="6" t="inlineStr">
        <is>
          <t>Prospect</t>
        </is>
      </c>
      <c r="E172" s="6" t="inlineStr">
        <is>
          <t>Visit / Prospect</t>
        </is>
      </c>
      <c r="F172" s="6" t="n">
        <v>10</v>
      </c>
      <c r="G172" s="6" t="n">
        <v>0</v>
      </c>
      <c r="H172" s="6" t="inlineStr">
        <is>
          <t>0</t>
        </is>
      </c>
      <c r="I172" s="6" t="inlineStr">
        <is>
          <t>0</t>
        </is>
      </c>
      <c r="J172" s="6" t="inlineStr"/>
      <c r="K172" s="6" t="inlineStr">
        <is>
          <t>2026-07-07</t>
        </is>
      </c>
      <c r="L172" s="6" t="inlineStr">
        <is>
          <t>9</t>
        </is>
      </c>
      <c r="M172" s="6" t="n">
        <v/>
      </c>
      <c r="N172" s="6" t="inlineStr">
        <is>
          <t>45</t>
        </is>
      </c>
      <c r="O172" s="6" t="inlineStr">
        <is>
          <t>C-D07</t>
        </is>
      </c>
      <c r="P172" s="6" t="n">
        <v/>
      </c>
      <c r="Q172" s="6" t="inlineStr">
        <is>
          <t>50505 Schoenherr Road, Michigan, 48315</t>
        </is>
      </c>
      <c r="R172" s="6" t="inlineStr"/>
      <c r="S172" s="6" t="inlineStr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>
      <c r="A173" s="6" t="inlineStr">
        <is>
          <t>Keystone Partners - Macomb</t>
        </is>
      </c>
      <c r="B173" s="6" t="inlineStr">
        <is>
          <t>bf5d89a6-74f7-4063-bb09-69d92d0a5f57</t>
        </is>
      </c>
      <c r="C173" s="6" t="inlineStr">
        <is>
          <t>PCP</t>
        </is>
      </c>
      <c r="D173" s="6" t="inlineStr">
        <is>
          <t>Prospect</t>
        </is>
      </c>
      <c r="E173" s="6" t="inlineStr">
        <is>
          <t>Visit / Prospect</t>
        </is>
      </c>
      <c r="F173" s="6" t="n">
        <v>10</v>
      </c>
      <c r="G173" s="6" t="n">
        <v>0</v>
      </c>
      <c r="H173" s="6" t="inlineStr">
        <is>
          <t>0</t>
        </is>
      </c>
      <c r="I173" s="6" t="inlineStr">
        <is>
          <t>0</t>
        </is>
      </c>
      <c r="J173" s="6" t="inlineStr"/>
      <c r="K173" s="6" t="inlineStr">
        <is>
          <t>2026-07-10</t>
        </is>
      </c>
      <c r="L173" s="6" t="inlineStr">
        <is>
          <t>6</t>
        </is>
      </c>
      <c r="M173" s="6" t="n">
        <v/>
      </c>
      <c r="N173" s="6" t="inlineStr">
        <is>
          <t>45</t>
        </is>
      </c>
      <c r="O173" s="6" t="inlineStr">
        <is>
          <t>C-D08</t>
        </is>
      </c>
      <c r="P173" s="6" t="inlineStr">
        <is>
          <t>Macomb</t>
        </is>
      </c>
      <c r="Q173" s="6" t="inlineStr">
        <is>
          <t>46591 Romeo Plank Rd ste 133, Macomb, Michigan, 48044</t>
        </is>
      </c>
      <c r="R173" s="6" t="inlineStr"/>
      <c r="S173" s="6" t="inlineStr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</row>
    <row r="174">
      <c r="A174" s="6" t="inlineStr">
        <is>
          <t>Michigan Head &amp; Spine Institute - Macomb</t>
        </is>
      </c>
      <c r="B174" s="6" t="inlineStr">
        <is>
          <t>e33f4068-dcba-4ec6-a5b6-a0ce07fd66d3</t>
        </is>
      </c>
      <c r="C174" s="6" t="inlineStr">
        <is>
          <t>Orthopedic</t>
        </is>
      </c>
      <c r="D174" s="6" t="inlineStr">
        <is>
          <t>Prospect</t>
        </is>
      </c>
      <c r="E174" s="6" t="inlineStr">
        <is>
          <t>Visit / Prospect</t>
        </is>
      </c>
      <c r="F174" s="6" t="n">
        <v>10</v>
      </c>
      <c r="G174" s="6" t="n">
        <v>0</v>
      </c>
      <c r="H174" s="6" t="inlineStr">
        <is>
          <t>0</t>
        </is>
      </c>
      <c r="I174" s="6" t="inlineStr">
        <is>
          <t>0</t>
        </is>
      </c>
      <c r="J174" s="6" t="inlineStr"/>
      <c r="K174" s="6" t="inlineStr">
        <is>
          <t>2026-06-16</t>
        </is>
      </c>
      <c r="L174" s="6" t="inlineStr">
        <is>
          <t>30</t>
        </is>
      </c>
      <c r="M174" s="6" t="n">
        <v/>
      </c>
      <c r="N174" s="6" t="inlineStr">
        <is>
          <t>45</t>
        </is>
      </c>
      <c r="O174" s="6" t="inlineStr">
        <is>
          <t>C-D08</t>
        </is>
      </c>
      <c r="P174" s="6" t="inlineStr">
        <is>
          <t>Clinton Township</t>
        </is>
      </c>
      <c r="Q174" s="6" t="inlineStr">
        <is>
          <t>43475 Dalcoma Dr suite 150 Clinton Twp, Clinton Township, Michigan, 48038</t>
        </is>
      </c>
      <c r="R174" s="6" t="inlineStr"/>
      <c r="S174" s="6" t="inlineStr">
        <is>
          <t>Ortho group w/ in-house spine? verify (Jul 20 rule) → Review for removal</t>
        </is>
      </c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>
      <c r="A175" s="6" t="inlineStr">
        <is>
          <t>Movement Orthopedics</t>
        </is>
      </c>
      <c r="B175" s="6" t="inlineStr">
        <is>
          <t>eaff83df-eecc-4f3e-a041-cea71bad788e</t>
        </is>
      </c>
      <c r="C175" s="6" t="inlineStr">
        <is>
          <t>Orthopedic</t>
        </is>
      </c>
      <c r="D175" s="6" t="inlineStr">
        <is>
          <t>Prospect</t>
        </is>
      </c>
      <c r="E175" s="6" t="inlineStr">
        <is>
          <t>Visit / Prospect</t>
        </is>
      </c>
      <c r="F175" s="6" t="n">
        <v>10</v>
      </c>
      <c r="G175" s="6" t="n">
        <v>0</v>
      </c>
      <c r="H175" s="6" t="inlineStr">
        <is>
          <t>0</t>
        </is>
      </c>
      <c r="I175" s="6" t="inlineStr">
        <is>
          <t>0</t>
        </is>
      </c>
      <c r="J175" s="6" t="inlineStr"/>
      <c r="K175" s="6" t="inlineStr">
        <is>
          <t>2026-06-16</t>
        </is>
      </c>
      <c r="L175" s="6" t="inlineStr">
        <is>
          <t>30</t>
        </is>
      </c>
      <c r="M175" s="6" t="n">
        <v/>
      </c>
      <c r="N175" s="6" t="inlineStr">
        <is>
          <t>45</t>
        </is>
      </c>
      <c r="O175" s="6" t="inlineStr">
        <is>
          <t>C-D08</t>
        </is>
      </c>
      <c r="P175" s="6" t="inlineStr">
        <is>
          <t>Clinton Township</t>
        </is>
      </c>
      <c r="Q175" s="6" t="inlineStr">
        <is>
          <t>43475 Dalcoma Dr suite 250, Clinton Township, Michigan, 48038</t>
        </is>
      </c>
      <c r="R175" s="6" t="inlineStr"/>
      <c r="S175" s="6" t="inlineStr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</row>
    <row r="176">
      <c r="A176" s="6" t="inlineStr">
        <is>
          <t>Prime Internal Medicine (MDVIP)</t>
        </is>
      </c>
      <c r="B176" s="6" t="inlineStr">
        <is>
          <t>2c230474-0801-4832-a54e-1828db8c62a1</t>
        </is>
      </c>
      <c r="C176" s="6" t="inlineStr">
        <is>
          <t>PCP</t>
        </is>
      </c>
      <c r="D176" s="6" t="inlineStr">
        <is>
          <t>Prospect</t>
        </is>
      </c>
      <c r="E176" s="6" t="inlineStr">
        <is>
          <t>Visit / Prospect</t>
        </is>
      </c>
      <c r="F176" s="6" t="n">
        <v>10</v>
      </c>
      <c r="G176" s="6" t="n">
        <v>0</v>
      </c>
      <c r="H176" s="6" t="inlineStr">
        <is>
          <t>0</t>
        </is>
      </c>
      <c r="I176" s="6" t="inlineStr">
        <is>
          <t>0</t>
        </is>
      </c>
      <c r="J176" s="6" t="inlineStr"/>
      <c r="K176" s="6" t="inlineStr">
        <is>
          <t>2026-07-16</t>
        </is>
      </c>
      <c r="L176" s="6" t="inlineStr">
        <is>
          <t>0</t>
        </is>
      </c>
      <c r="M176" s="6" t="n">
        <v/>
      </c>
      <c r="N176" s="6" t="inlineStr">
        <is>
          <t>45</t>
        </is>
      </c>
      <c r="O176" s="6" t="inlineStr">
        <is>
          <t>C-D09</t>
        </is>
      </c>
      <c r="P176" s="6" t="inlineStr">
        <is>
          <t>Milford Charter Township</t>
        </is>
      </c>
      <c r="Q176" s="6" t="inlineStr">
        <is>
          <t>1435 N Milford Rd suite 200 Milford, Milford Charter Township, Michigan, 48381</t>
        </is>
      </c>
      <c r="R176" s="6" t="inlineStr"/>
      <c r="S176" s="6" t="inlineStr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>
      <c r="A177" s="6" t="inlineStr">
        <is>
          <t>Michigan Physicians Group - Livonia</t>
        </is>
      </c>
      <c r="B177" s="6" t="inlineStr">
        <is>
          <t>20ab0f4f-ab86-4054-a588-8d04b87ad7af</t>
        </is>
      </c>
      <c r="C177" s="6" t="inlineStr">
        <is>
          <t>Pain</t>
        </is>
      </c>
      <c r="D177" s="6" t="inlineStr">
        <is>
          <t>Prospect</t>
        </is>
      </c>
      <c r="E177" s="6" t="inlineStr">
        <is>
          <t>Visit / Prospect</t>
        </is>
      </c>
      <c r="F177" s="6" t="n">
        <v>10</v>
      </c>
      <c r="G177" s="6" t="n">
        <v>0</v>
      </c>
      <c r="H177" s="6" t="inlineStr">
        <is>
          <t>0</t>
        </is>
      </c>
      <c r="I177" s="6" t="inlineStr">
        <is>
          <t>0</t>
        </is>
      </c>
      <c r="J177" s="6" t="inlineStr"/>
      <c r="K177" s="6" t="inlineStr">
        <is>
          <t>2026-06-19</t>
        </is>
      </c>
      <c r="L177" s="6" t="inlineStr">
        <is>
          <t>27</t>
        </is>
      </c>
      <c r="M177" s="6" t="n">
        <v/>
      </c>
      <c r="N177" s="6" t="inlineStr">
        <is>
          <t>45</t>
        </is>
      </c>
      <c r="O177" s="6" t="inlineStr">
        <is>
          <t>C-D10</t>
        </is>
      </c>
      <c r="P177" s="6" t="inlineStr">
        <is>
          <t>Livonia</t>
        </is>
      </c>
      <c r="Q177" s="6" t="inlineStr">
        <is>
          <t>14325 Middlebelt Road, Livonia, Michigan, 48154</t>
        </is>
      </c>
      <c r="R177" s="6" t="inlineStr"/>
      <c r="S177" s="6" t="inlineStr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</row>
    <row r="178">
      <c r="A178" s="6" t="inlineStr">
        <is>
          <t>JOEL WELLNESS CLINIC</t>
        </is>
      </c>
      <c r="B178" s="6" t="inlineStr">
        <is>
          <t>6abec30d-30ef-4f35-8e04-85112389bfb1</t>
        </is>
      </c>
      <c r="C178" s="6" t="inlineStr">
        <is>
          <t>Orthopedic</t>
        </is>
      </c>
      <c r="D178" s="6" t="inlineStr">
        <is>
          <t>Prospect</t>
        </is>
      </c>
      <c r="E178" s="6" t="inlineStr">
        <is>
          <t>Visit / Prospect</t>
        </is>
      </c>
      <c r="F178" s="6" t="n">
        <v>10</v>
      </c>
      <c r="G178" s="6" t="n">
        <v>0</v>
      </c>
      <c r="H178" s="6" t="inlineStr">
        <is>
          <t>0</t>
        </is>
      </c>
      <c r="I178" s="6" t="inlineStr">
        <is>
          <t>0</t>
        </is>
      </c>
      <c r="J178" s="6" t="inlineStr"/>
      <c r="K178" s="6" t="inlineStr">
        <is>
          <t>2026-06-19</t>
        </is>
      </c>
      <c r="L178" s="6" t="inlineStr">
        <is>
          <t>27</t>
        </is>
      </c>
      <c r="M178" s="6" t="n">
        <v/>
      </c>
      <c r="N178" s="6" t="inlineStr">
        <is>
          <t>45</t>
        </is>
      </c>
      <c r="O178" s="6" t="inlineStr">
        <is>
          <t>C-D10</t>
        </is>
      </c>
      <c r="P178" s="6" t="inlineStr">
        <is>
          <t>Livonia</t>
        </is>
      </c>
      <c r="Q178" s="6" t="inlineStr">
        <is>
          <t>15144 Levan Road Ste 44, Livonia, Michigan, 48154</t>
        </is>
      </c>
      <c r="R178" s="6" t="inlineStr"/>
      <c r="S178" s="6" t="inlineStr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>
      <c r="A179" s="6" t="inlineStr">
        <is>
          <t>Roger D Ajluni MD PC</t>
        </is>
      </c>
      <c r="B179" s="6" t="inlineStr">
        <is>
          <t>a320a856-33fb-458b-8907-d98101fceb1b</t>
        </is>
      </c>
      <c r="C179" s="6" t="inlineStr">
        <is>
          <t>PCP</t>
        </is>
      </c>
      <c r="D179" s="6" t="inlineStr">
        <is>
          <t>Prospect</t>
        </is>
      </c>
      <c r="E179" s="6" t="inlineStr">
        <is>
          <t>Visit / Prospect</t>
        </is>
      </c>
      <c r="F179" s="6" t="n">
        <v>10</v>
      </c>
      <c r="G179" s="6" t="n">
        <v>0</v>
      </c>
      <c r="H179" s="6" t="inlineStr">
        <is>
          <t>0</t>
        </is>
      </c>
      <c r="I179" s="6" t="inlineStr">
        <is>
          <t>0</t>
        </is>
      </c>
      <c r="J179" s="6" t="inlineStr"/>
      <c r="K179" s="6" t="inlineStr">
        <is>
          <t>2026-06-19</t>
        </is>
      </c>
      <c r="L179" s="6" t="inlineStr">
        <is>
          <t>27</t>
        </is>
      </c>
      <c r="M179" s="6" t="n">
        <v/>
      </c>
      <c r="N179" s="6" t="inlineStr">
        <is>
          <t>45</t>
        </is>
      </c>
      <c r="O179" s="6" t="inlineStr">
        <is>
          <t>C-D10</t>
        </is>
      </c>
      <c r="P179" s="6" t="inlineStr">
        <is>
          <t>Livonia</t>
        </is>
      </c>
      <c r="Q179" s="6" t="inlineStr">
        <is>
          <t>17920 Farmington Rd, Livonia, MI, 48152</t>
        </is>
      </c>
      <c r="R179" s="6" t="inlineStr"/>
      <c r="S179" s="6" t="inlineStr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</row>
    <row r="180">
      <c r="A180" s="6" t="inlineStr">
        <is>
          <t>Beacon Orthopedics of Michigan - Livonia</t>
        </is>
      </c>
      <c r="B180" s="6" t="inlineStr">
        <is>
          <t>7ba5f22d-a044-4e77-9eae-086d15413f50</t>
        </is>
      </c>
      <c r="C180" s="6" t="inlineStr">
        <is>
          <t>Orthopedic</t>
        </is>
      </c>
      <c r="D180" s="6" t="inlineStr">
        <is>
          <t>Prospect</t>
        </is>
      </c>
      <c r="E180" s="6" t="inlineStr">
        <is>
          <t>Visit / Prospect</t>
        </is>
      </c>
      <c r="F180" s="6" t="n">
        <v>10</v>
      </c>
      <c r="G180" s="6" t="n">
        <v>0</v>
      </c>
      <c r="H180" s="6" t="inlineStr">
        <is>
          <t>0</t>
        </is>
      </c>
      <c r="I180" s="6" t="inlineStr">
        <is>
          <t>0</t>
        </is>
      </c>
      <c r="J180" s="6" t="inlineStr"/>
      <c r="K180" s="6" t="inlineStr">
        <is>
          <t>2026-05-08</t>
        </is>
      </c>
      <c r="L180" s="6" t="inlineStr">
        <is>
          <t>69</t>
        </is>
      </c>
      <c r="M180" s="6" t="n">
        <v/>
      </c>
      <c r="N180" s="6" t="inlineStr">
        <is>
          <t>45</t>
        </is>
      </c>
      <c r="O180" s="6" t="inlineStr">
        <is>
          <t>C-D10</t>
        </is>
      </c>
      <c r="P180" s="6" t="inlineStr">
        <is>
          <t>Livonia</t>
        </is>
      </c>
      <c r="Q180" s="6" t="inlineStr">
        <is>
          <t>19335 Merriman Road, Livonia, Michigan, 48152</t>
        </is>
      </c>
      <c r="R180" s="6" t="inlineStr"/>
      <c r="S180" s="6" t="inlineStr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>
      <c r="A181" s="6" t="inlineStr">
        <is>
          <t>Healthquest Chiropractic</t>
        </is>
      </c>
      <c r="B181" s="6" t="inlineStr">
        <is>
          <t>f2dc38ef-6f3e-46e7-81ca-1ac74b888995</t>
        </is>
      </c>
      <c r="C181" s="6" t="inlineStr">
        <is>
          <t>Chiropractor</t>
        </is>
      </c>
      <c r="D181" s="6" t="inlineStr">
        <is>
          <t>Prospect</t>
        </is>
      </c>
      <c r="E181" s="6" t="inlineStr">
        <is>
          <t>Visit / Prospect</t>
        </is>
      </c>
      <c r="F181" s="6" t="n">
        <v>10</v>
      </c>
      <c r="G181" s="6" t="n">
        <v>0</v>
      </c>
      <c r="H181" s="6" t="inlineStr">
        <is>
          <t>0</t>
        </is>
      </c>
      <c r="I181" s="6" t="inlineStr">
        <is>
          <t>0</t>
        </is>
      </c>
      <c r="J181" s="6" t="inlineStr"/>
      <c r="K181" s="6" t="inlineStr">
        <is>
          <t>2026-07-08</t>
        </is>
      </c>
      <c r="L181" s="6" t="inlineStr">
        <is>
          <t>8</t>
        </is>
      </c>
      <c r="M181" s="6" t="n">
        <v/>
      </c>
      <c r="N181" s="6" t="inlineStr">
        <is>
          <t>45</t>
        </is>
      </c>
      <c r="O181" s="6" t="inlineStr">
        <is>
          <t>C-D10</t>
        </is>
      </c>
      <c r="P181" s="6" t="inlineStr">
        <is>
          <t>Farmington Hills</t>
        </is>
      </c>
      <c r="Q181" s="6" t="inlineStr">
        <is>
          <t>24100 Drake Rd, Farmington Hills, Michigan, 48335</t>
        </is>
      </c>
      <c r="R181" s="6" t="inlineStr"/>
      <c r="S181" s="6" t="inlineStr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</row>
    <row r="182">
      <c r="A182" s="6" t="inlineStr">
        <is>
          <t>Maridel Hernadez MD</t>
        </is>
      </c>
      <c r="B182" s="6" t="inlineStr">
        <is>
          <t>8d20bd9d-fad3-4505-aa71-e69cb2962597</t>
        </is>
      </c>
      <c r="C182" s="6" t="inlineStr">
        <is>
          <t>PCP</t>
        </is>
      </c>
      <c r="D182" s="6" t="inlineStr">
        <is>
          <t>Prospect</t>
        </is>
      </c>
      <c r="E182" s="6" t="inlineStr">
        <is>
          <t>Visit / Prospect</t>
        </is>
      </c>
      <c r="F182" s="6" t="n">
        <v>10</v>
      </c>
      <c r="G182" s="6" t="n">
        <v>0</v>
      </c>
      <c r="H182" s="6" t="inlineStr">
        <is>
          <t>0</t>
        </is>
      </c>
      <c r="I182" s="6" t="inlineStr">
        <is>
          <t>0</t>
        </is>
      </c>
      <c r="J182" s="6" t="inlineStr"/>
      <c r="K182" s="6" t="inlineStr">
        <is>
          <t>2026-06-18</t>
        </is>
      </c>
      <c r="L182" s="6" t="inlineStr">
        <is>
          <t>28</t>
        </is>
      </c>
      <c r="M182" s="6" t="n">
        <v/>
      </c>
      <c r="N182" s="6" t="inlineStr">
        <is>
          <t>45</t>
        </is>
      </c>
      <c r="O182" s="6" t="inlineStr">
        <is>
          <t>C-D11</t>
        </is>
      </c>
      <c r="P182" s="6" t="inlineStr">
        <is>
          <t>St. Clair Shores</t>
        </is>
      </c>
      <c r="Q182" s="6" t="inlineStr">
        <is>
          <t>30140 Harper Ave ste 300, St. Clair Shores, Michigan, 48082</t>
        </is>
      </c>
      <c r="R182" s="6" t="inlineStr"/>
      <c r="S182" s="6" t="inlineStr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  <row r="183">
      <c r="A183" s="6" t="inlineStr">
        <is>
          <t>Metro Pain Clinic  - Warren</t>
        </is>
      </c>
      <c r="B183" s="6" t="inlineStr">
        <is>
          <t>aa5863d0-5375-4e30-9596-780fee5530e6</t>
        </is>
      </c>
      <c r="C183" s="6" t="inlineStr">
        <is>
          <t>Pain</t>
        </is>
      </c>
      <c r="D183" s="6" t="inlineStr">
        <is>
          <t>Prospect</t>
        </is>
      </c>
      <c r="E183" s="6" t="inlineStr">
        <is>
          <t>Visit / Prospect</t>
        </is>
      </c>
      <c r="F183" s="6" t="n">
        <v>10</v>
      </c>
      <c r="G183" s="6" t="n">
        <v>0</v>
      </c>
      <c r="H183" s="6" t="inlineStr">
        <is>
          <t>0</t>
        </is>
      </c>
      <c r="I183" s="6" t="inlineStr">
        <is>
          <t>0</t>
        </is>
      </c>
      <c r="J183" s="6" t="inlineStr"/>
      <c r="K183" s="6" t="inlineStr">
        <is>
          <t>2026-06-01</t>
        </is>
      </c>
      <c r="L183" s="6" t="inlineStr">
        <is>
          <t>45</t>
        </is>
      </c>
      <c r="M183" s="6" t="n">
        <v/>
      </c>
      <c r="N183" s="6" t="inlineStr">
        <is>
          <t>45</t>
        </is>
      </c>
      <c r="O183" s="6" t="inlineStr">
        <is>
          <t>C-D11</t>
        </is>
      </c>
      <c r="P183" s="6" t="inlineStr">
        <is>
          <t>Warren</t>
        </is>
      </c>
      <c r="Q183" s="6" t="inlineStr">
        <is>
          <t>28001 Schoenherr Road, Warren, Michigan, 48088</t>
        </is>
      </c>
      <c r="R183" s="6" t="inlineStr"/>
      <c r="S183" s="6" t="inlineStr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</row>
    <row r="184">
      <c r="A184" s="6" t="inlineStr">
        <is>
          <t>Henry Ford Medical Center - Beck Rd</t>
        </is>
      </c>
      <c r="B184" s="6" t="inlineStr">
        <is>
          <t>1538237060</t>
        </is>
      </c>
      <c r="C184" s="6" t="inlineStr">
        <is>
          <t>PCP</t>
        </is>
      </c>
      <c r="D184" s="6" t="inlineStr">
        <is>
          <t>Prospect</t>
        </is>
      </c>
      <c r="E184" s="6" t="inlineStr">
        <is>
          <t>Visit / Prospect</t>
        </is>
      </c>
      <c r="F184" s="6" t="n">
        <v>10</v>
      </c>
      <c r="G184" s="6" t="n">
        <v>0</v>
      </c>
      <c r="H184" s="6" t="inlineStr">
        <is>
          <t>0</t>
        </is>
      </c>
      <c r="I184" s="6" t="inlineStr">
        <is>
          <t>0</t>
        </is>
      </c>
      <c r="J184" s="6" t="inlineStr"/>
      <c r="K184" s="6" t="inlineStr">
        <is>
          <t>2026-06-22</t>
        </is>
      </c>
      <c r="L184" s="6" t="inlineStr">
        <is>
          <t>24</t>
        </is>
      </c>
      <c r="M184" s="6" t="n">
        <v/>
      </c>
      <c r="N184" s="6" t="inlineStr">
        <is>
          <t>45</t>
        </is>
      </c>
      <c r="O184" s="6" t="inlineStr">
        <is>
          <t>C-D12</t>
        </is>
      </c>
      <c r="P184" s="6" t="inlineStr">
        <is>
          <t>Plymouth</t>
        </is>
      </c>
      <c r="Q184" s="6" t="inlineStr">
        <is>
          <t>14300 Beck Rd, Plymouth, MI, 48170</t>
        </is>
      </c>
      <c r="R184" s="6" t="inlineStr"/>
      <c r="S184" s="6" t="inlineStr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</row>
    <row r="185">
      <c r="A185" s="6" t="inlineStr">
        <is>
          <t>Primary Care Services -Westland</t>
        </is>
      </c>
      <c r="B185" s="6" t="inlineStr">
        <is>
          <t>af12dee4-a837-45cd-b77e-ae4d5a1da5b3</t>
        </is>
      </c>
      <c r="C185" s="6" t="inlineStr">
        <is>
          <t>Pain</t>
        </is>
      </c>
      <c r="D185" s="6" t="inlineStr">
        <is>
          <t>Prospect</t>
        </is>
      </c>
      <c r="E185" s="6" t="inlineStr">
        <is>
          <t>Visit / Prospect</t>
        </is>
      </c>
      <c r="F185" s="6" t="n">
        <v>10</v>
      </c>
      <c r="G185" s="6" t="n">
        <v>0</v>
      </c>
      <c r="H185" s="6" t="inlineStr">
        <is>
          <t>0</t>
        </is>
      </c>
      <c r="I185" s="6" t="inlineStr">
        <is>
          <t>0</t>
        </is>
      </c>
      <c r="J185" s="6" t="inlineStr"/>
      <c r="K185" s="6" t="inlineStr">
        <is>
          <t>2026-05-29</t>
        </is>
      </c>
      <c r="L185" s="6" t="inlineStr">
        <is>
          <t>48</t>
        </is>
      </c>
      <c r="M185" s="6" t="n">
        <v/>
      </c>
      <c r="N185" s="6" t="inlineStr">
        <is>
          <t>45</t>
        </is>
      </c>
      <c r="O185" s="6" t="inlineStr">
        <is>
          <t>C-D12</t>
        </is>
      </c>
      <c r="P185" s="6" t="inlineStr">
        <is>
          <t>Westland</t>
        </is>
      </c>
      <c r="Q185" s="6" t="inlineStr">
        <is>
          <t>35180 Nankin Blvd ste 204, Westland, Michigan, 48185</t>
        </is>
      </c>
      <c r="R185" s="6" t="inlineStr"/>
      <c r="S185" s="6" t="inlineStr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</row>
    <row r="186">
      <c r="A186" s="6" t="inlineStr">
        <is>
          <t>Henry Ford Internal Medicine - Sterling Heights</t>
        </is>
      </c>
      <c r="B186" s="6" t="inlineStr">
        <is>
          <t>20a601f2-ef2f-40db-b5ec-481cf50305de</t>
        </is>
      </c>
      <c r="C186" s="6" t="inlineStr">
        <is>
          <t>PCP</t>
        </is>
      </c>
      <c r="D186" s="6" t="inlineStr">
        <is>
          <t>Prospect</t>
        </is>
      </c>
      <c r="E186" s="6" t="inlineStr">
        <is>
          <t>Visit / Prospect</t>
        </is>
      </c>
      <c r="F186" s="6" t="n">
        <v>10</v>
      </c>
      <c r="G186" s="6" t="n">
        <v>0</v>
      </c>
      <c r="H186" s="6" t="inlineStr">
        <is>
          <t>0</t>
        </is>
      </c>
      <c r="I186" s="6" t="inlineStr">
        <is>
          <t>0</t>
        </is>
      </c>
      <c r="J186" s="6" t="inlineStr"/>
      <c r="K186" s="6" t="inlineStr">
        <is>
          <t>2026-06-26</t>
        </is>
      </c>
      <c r="L186" s="6" t="inlineStr">
        <is>
          <t>20</t>
        </is>
      </c>
      <c r="M186" s="6" t="n">
        <v/>
      </c>
      <c r="N186" s="6" t="inlineStr">
        <is>
          <t>45</t>
        </is>
      </c>
      <c r="O186" s="6" t="inlineStr">
        <is>
          <t>C-D14</t>
        </is>
      </c>
      <c r="P186" s="6" t="inlineStr">
        <is>
          <t>Sterling Heights</t>
        </is>
      </c>
      <c r="Q186" s="6" t="inlineStr">
        <is>
          <t>3500 15 Mile Road, Sterling Heights, Michigan, 48310</t>
        </is>
      </c>
      <c r="R186" s="6" t="inlineStr"/>
      <c r="S186" s="6" t="inlineStr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</row>
    <row r="187">
      <c r="A187" s="6" t="inlineStr">
        <is>
          <t>Farrah Ahmad MD</t>
        </is>
      </c>
      <c r="B187" s="6" t="inlineStr">
        <is>
          <t>aaf83473-f7a0-4e20-8241-601767b6943c</t>
        </is>
      </c>
      <c r="C187" s="6" t="inlineStr">
        <is>
          <t>PCP</t>
        </is>
      </c>
      <c r="D187" s="6" t="inlineStr">
        <is>
          <t>Prospect</t>
        </is>
      </c>
      <c r="E187" s="6" t="inlineStr">
        <is>
          <t>Visit / Prospect</t>
        </is>
      </c>
      <c r="F187" s="6" t="n">
        <v>10</v>
      </c>
      <c r="G187" s="6" t="n">
        <v>0</v>
      </c>
      <c r="H187" s="6" t="inlineStr">
        <is>
          <t>0</t>
        </is>
      </c>
      <c r="I187" s="6" t="inlineStr">
        <is>
          <t>0</t>
        </is>
      </c>
      <c r="J187" s="6" t="inlineStr"/>
      <c r="K187" s="6" t="inlineStr">
        <is>
          <t>2026-06-26</t>
        </is>
      </c>
      <c r="L187" s="6" t="inlineStr">
        <is>
          <t>20</t>
        </is>
      </c>
      <c r="M187" s="6" t="n">
        <v/>
      </c>
      <c r="N187" s="6" t="inlineStr">
        <is>
          <t>45</t>
        </is>
      </c>
      <c r="O187" s="6" t="inlineStr">
        <is>
          <t>C-D14</t>
        </is>
      </c>
      <c r="P187" s="6" t="inlineStr">
        <is>
          <t>MI 48310</t>
        </is>
      </c>
      <c r="Q187" s="6" t="inlineStr">
        <is>
          <t>34220 Ryan Road Sterling Heights, MI 48310, MI, 48310</t>
        </is>
      </c>
      <c r="R187" s="6" t="inlineStr"/>
      <c r="S187" s="6" t="inlineStr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</row>
    <row r="188">
      <c r="A188" s="6" t="inlineStr">
        <is>
          <t>Mi Family Medicine &amp; Urgent Care</t>
        </is>
      </c>
      <c r="B188" s="6" t="inlineStr">
        <is>
          <t>361c9ac4-e663-4323-a07b-d1e2fd37f618</t>
        </is>
      </c>
      <c r="C188" s="6" t="inlineStr">
        <is>
          <t>Urgent Care</t>
        </is>
      </c>
      <c r="D188" s="6" t="inlineStr">
        <is>
          <t>Prospect</t>
        </is>
      </c>
      <c r="E188" s="6" t="inlineStr">
        <is>
          <t>Visit / Prospect</t>
        </is>
      </c>
      <c r="F188" s="6" t="n">
        <v>10</v>
      </c>
      <c r="G188" s="6" t="n">
        <v>0</v>
      </c>
      <c r="H188" s="6" t="inlineStr">
        <is>
          <t>0</t>
        </is>
      </c>
      <c r="I188" s="6" t="inlineStr">
        <is>
          <t>0</t>
        </is>
      </c>
      <c r="J188" s="6" t="inlineStr"/>
      <c r="K188" s="6" t="inlineStr">
        <is>
          <t>2026-06-24</t>
        </is>
      </c>
      <c r="L188" s="6" t="inlineStr">
        <is>
          <t>22</t>
        </is>
      </c>
      <c r="M188" s="6" t="n">
        <v/>
      </c>
      <c r="N188" s="6" t="inlineStr">
        <is>
          <t>45</t>
        </is>
      </c>
      <c r="O188" s="6" t="inlineStr">
        <is>
          <t>C-D14</t>
        </is>
      </c>
      <c r="P188" s="6" t="inlineStr">
        <is>
          <t>Madison Heights</t>
        </is>
      </c>
      <c r="Q188" s="6" t="inlineStr">
        <is>
          <t>28091 Dequindre Rd suite 203, Madison Heights, Michigan, 48071</t>
        </is>
      </c>
      <c r="R188" s="6" t="inlineStr"/>
      <c r="S188" s="6" t="inlineStr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</row>
    <row r="189">
      <c r="A189" s="6" t="inlineStr">
        <is>
          <t>Somerset Family Medicine - Troy</t>
        </is>
      </c>
      <c r="B189" s="6" t="inlineStr">
        <is>
          <t>9b787ba7-f5be-4319-a44e-39cd77858998</t>
        </is>
      </c>
      <c r="C189" s="6" t="inlineStr">
        <is>
          <t>PCP</t>
        </is>
      </c>
      <c r="D189" s="6" t="inlineStr">
        <is>
          <t>Prospect</t>
        </is>
      </c>
      <c r="E189" s="6" t="inlineStr">
        <is>
          <t>Visit / Prospect</t>
        </is>
      </c>
      <c r="F189" s="6" t="n">
        <v>10</v>
      </c>
      <c r="G189" s="6" t="n">
        <v>0</v>
      </c>
      <c r="H189" s="6" t="inlineStr">
        <is>
          <t>0</t>
        </is>
      </c>
      <c r="I189" s="6" t="inlineStr">
        <is>
          <t>0</t>
        </is>
      </c>
      <c r="J189" s="6" t="inlineStr"/>
      <c r="K189" s="6" t="inlineStr">
        <is>
          <t>2026-07-01</t>
        </is>
      </c>
      <c r="L189" s="6" t="inlineStr">
        <is>
          <t>15</t>
        </is>
      </c>
      <c r="M189" s="6" t="n">
        <v/>
      </c>
      <c r="N189" s="6" t="inlineStr">
        <is>
          <t>45</t>
        </is>
      </c>
      <c r="O189" s="6" t="inlineStr">
        <is>
          <t>C-D15</t>
        </is>
      </c>
      <c r="P189" s="6" t="inlineStr">
        <is>
          <t>Troy</t>
        </is>
      </c>
      <c r="Q189" s="6" t="inlineStr">
        <is>
          <t>1615 W Big Beaver Rd ste a4, Troy, Michigan, 48084</t>
        </is>
      </c>
      <c r="R189" s="6" t="inlineStr"/>
      <c r="S189" s="6" t="inlineStr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</row>
    <row r="190">
      <c r="A190" s="6" t="inlineStr">
        <is>
          <t>Corewell Health Internal Medicine - Troy</t>
        </is>
      </c>
      <c r="B190" s="6" t="inlineStr">
        <is>
          <t>e08bd153-21a7-4571-932b-cec418f70d74</t>
        </is>
      </c>
      <c r="C190" s="6" t="inlineStr">
        <is>
          <t>PCP</t>
        </is>
      </c>
      <c r="D190" s="6" t="inlineStr">
        <is>
          <t>Prospect</t>
        </is>
      </c>
      <c r="E190" s="6" t="inlineStr">
        <is>
          <t>Visit / Prospect</t>
        </is>
      </c>
      <c r="F190" s="6" t="n">
        <v>10</v>
      </c>
      <c r="G190" s="6" t="n">
        <v>0</v>
      </c>
      <c r="H190" s="6" t="inlineStr">
        <is>
          <t>0</t>
        </is>
      </c>
      <c r="I190" s="6" t="inlineStr">
        <is>
          <t>0</t>
        </is>
      </c>
      <c r="J190" s="6" t="inlineStr"/>
      <c r="K190" s="6" t="inlineStr">
        <is>
          <t>2026-06-10</t>
        </is>
      </c>
      <c r="L190" s="6" t="inlineStr">
        <is>
          <t>36</t>
        </is>
      </c>
      <c r="M190" s="6" t="n">
        <v/>
      </c>
      <c r="N190" s="6" t="inlineStr">
        <is>
          <t>45</t>
        </is>
      </c>
      <c r="O190" s="6" t="inlineStr">
        <is>
          <t>C-D15</t>
        </is>
      </c>
      <c r="P190" s="6" t="inlineStr">
        <is>
          <t>Troy</t>
        </is>
      </c>
      <c r="Q190" s="6" t="inlineStr">
        <is>
          <t>130 Town Center Dr ste 209, Troy, Michigan, 48084</t>
        </is>
      </c>
      <c r="R190" s="6" t="inlineStr"/>
      <c r="S190" s="6" t="inlineStr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</row>
    <row r="191">
      <c r="A191" s="6" t="inlineStr">
        <is>
          <t>John Joseph MD,</t>
        </is>
      </c>
      <c r="B191" s="6" t="inlineStr">
        <is>
          <t>1043288053</t>
        </is>
      </c>
      <c r="C191" s="6" t="inlineStr">
        <is>
          <t>PCP</t>
        </is>
      </c>
      <c r="D191" s="6" t="inlineStr">
        <is>
          <t>Prospect</t>
        </is>
      </c>
      <c r="E191" s="6" t="inlineStr">
        <is>
          <t>Visit / Prospect</t>
        </is>
      </c>
      <c r="F191" s="6" t="n">
        <v>10</v>
      </c>
      <c r="G191" s="6" t="n">
        <v>0</v>
      </c>
      <c r="H191" s="6" t="inlineStr">
        <is>
          <t>0</t>
        </is>
      </c>
      <c r="I191" s="6" t="inlineStr">
        <is>
          <t>0</t>
        </is>
      </c>
      <c r="J191" s="6" t="inlineStr"/>
      <c r="K191" s="6" t="inlineStr">
        <is>
          <t>2026-06-29</t>
        </is>
      </c>
      <c r="L191" s="6" t="inlineStr">
        <is>
          <t>17</t>
        </is>
      </c>
      <c r="M191" s="6" t="n">
        <v/>
      </c>
      <c r="N191" s="6" t="inlineStr">
        <is>
          <t>45</t>
        </is>
      </c>
      <c r="O191" s="6" t="inlineStr">
        <is>
          <t>C-D15</t>
        </is>
      </c>
      <c r="P191" s="6" t="inlineStr">
        <is>
          <t>Troy</t>
        </is>
      </c>
      <c r="Q191" s="6" t="inlineStr">
        <is>
          <t>135 E Maple Rd, Troy, Michigan, 48083</t>
        </is>
      </c>
      <c r="R191" s="6" t="inlineStr"/>
      <c r="S191" s="6" t="inlineStr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</row>
    <row r="192">
      <c r="A192" s="6" t="inlineStr">
        <is>
          <t>Bones &amp; Joints Clinic</t>
        </is>
      </c>
      <c r="B192" s="6" t="inlineStr">
        <is>
          <t>6534c29e-4183-4541-a745-ede23a94fbbd</t>
        </is>
      </c>
      <c r="C192" s="6" t="inlineStr">
        <is>
          <t>Pain</t>
        </is>
      </c>
      <c r="D192" s="6" t="inlineStr">
        <is>
          <t>Prospect</t>
        </is>
      </c>
      <c r="E192" s="6" t="inlineStr">
        <is>
          <t>Visit / Prospect</t>
        </is>
      </c>
      <c r="F192" s="6" t="n">
        <v>10</v>
      </c>
      <c r="G192" s="6" t="n">
        <v>0</v>
      </c>
      <c r="H192" s="6" t="inlineStr">
        <is>
          <t>0</t>
        </is>
      </c>
      <c r="I192" s="6" t="inlineStr">
        <is>
          <t>0</t>
        </is>
      </c>
      <c r="J192" s="6" t="inlineStr"/>
      <c r="K192" s="6" t="inlineStr">
        <is>
          <t>2026-06-02</t>
        </is>
      </c>
      <c r="L192" s="6" t="inlineStr">
        <is>
          <t>44</t>
        </is>
      </c>
      <c r="M192" s="6" t="n">
        <v/>
      </c>
      <c r="N192" s="6" t="inlineStr">
        <is>
          <t>45</t>
        </is>
      </c>
      <c r="O192" s="6" t="inlineStr">
        <is>
          <t>C-D16</t>
        </is>
      </c>
      <c r="P192" s="6" t="inlineStr">
        <is>
          <t>Sterling Heights</t>
        </is>
      </c>
      <c r="Q192" s="6" t="inlineStr">
        <is>
          <t>3058 Metro Pkwy ste 204, Sterling Heights, Michigan, 48310</t>
        </is>
      </c>
      <c r="R192" s="6" t="inlineStr"/>
      <c r="S192" s="6" t="inlineStr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</row>
    <row r="193">
      <c r="A193" s="6" t="inlineStr">
        <is>
          <t>Changee Kim MD</t>
        </is>
      </c>
      <c r="B193" s="6" t="inlineStr">
        <is>
          <t>46e88577-6544-4486-beb0-351067178ed3</t>
        </is>
      </c>
      <c r="C193" s="6" t="inlineStr">
        <is>
          <t>PCP</t>
        </is>
      </c>
      <c r="D193" s="6" t="inlineStr">
        <is>
          <t>Prospect</t>
        </is>
      </c>
      <c r="E193" s="6" t="inlineStr">
        <is>
          <t>Visit / Prospect</t>
        </is>
      </c>
      <c r="F193" s="6" t="n">
        <v>10</v>
      </c>
      <c r="G193" s="6" t="n">
        <v>0</v>
      </c>
      <c r="H193" s="6" t="inlineStr">
        <is>
          <t>0</t>
        </is>
      </c>
      <c r="I193" s="6" t="inlineStr">
        <is>
          <t>0</t>
        </is>
      </c>
      <c r="J193" s="6" t="inlineStr"/>
      <c r="K193" s="6" t="inlineStr">
        <is>
          <t>2026-07-13</t>
        </is>
      </c>
      <c r="L193" s="6" t="inlineStr">
        <is>
          <t>3</t>
        </is>
      </c>
      <c r="M193" s="6" t="n">
        <v/>
      </c>
      <c r="N193" s="6" t="inlineStr">
        <is>
          <t>45</t>
        </is>
      </c>
      <c r="O193" s="6" t="inlineStr">
        <is>
          <t>C-D16</t>
        </is>
      </c>
      <c r="P193" s="6" t="inlineStr">
        <is>
          <t>Troy</t>
        </is>
      </c>
      <c r="Q193" s="6" t="inlineStr">
        <is>
          <t>38815 Dequindre Rd suite 103, Troy, Michigan, 48083</t>
        </is>
      </c>
      <c r="R193" s="6" t="inlineStr"/>
      <c r="S193" s="6" t="inlineStr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</row>
    <row r="194">
      <c r="A194" s="6" t="inlineStr">
        <is>
          <t>Ruffini DC PC, Richard J</t>
        </is>
      </c>
      <c r="B194" s="6" t="inlineStr">
        <is>
          <t>1649460536</t>
        </is>
      </c>
      <c r="C194" s="6" t="inlineStr">
        <is>
          <t>Chiropractor</t>
        </is>
      </c>
      <c r="D194" s="6" t="inlineStr">
        <is>
          <t>Prospect</t>
        </is>
      </c>
      <c r="E194" s="6" t="inlineStr">
        <is>
          <t>Visit / Prospect</t>
        </is>
      </c>
      <c r="F194" s="6" t="n">
        <v>10</v>
      </c>
      <c r="G194" s="6" t="n">
        <v>0</v>
      </c>
      <c r="H194" s="6" t="inlineStr">
        <is>
          <t>0</t>
        </is>
      </c>
      <c r="I194" s="6" t="inlineStr">
        <is>
          <t>0</t>
        </is>
      </c>
      <c r="J194" s="6" t="inlineStr"/>
      <c r="K194" s="6" t="inlineStr">
        <is>
          <t>2026-05-28</t>
        </is>
      </c>
      <c r="L194" s="6" t="inlineStr">
        <is>
          <t>49</t>
        </is>
      </c>
      <c r="M194" s="6" t="n">
        <v/>
      </c>
      <c r="N194" s="6" t="inlineStr">
        <is>
          <t>45</t>
        </is>
      </c>
      <c r="O194" s="6" t="inlineStr">
        <is>
          <t>C-D17</t>
        </is>
      </c>
      <c r="P194" s="6" t="inlineStr">
        <is>
          <t>Southfield</t>
        </is>
      </c>
      <c r="Q194" s="6" t="inlineStr">
        <is>
          <t>24725 W 12 Mile Rd, Southfield, MI, 480341801</t>
        </is>
      </c>
      <c r="R194" s="6" t="inlineStr"/>
      <c r="S194" s="6" t="inlineStr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</row>
    <row r="195">
      <c r="A195" s="6" t="inlineStr">
        <is>
          <t>Arcturus Healthcare - Rochester Hills</t>
        </is>
      </c>
      <c r="B195" s="6" t="inlineStr">
        <is>
          <t>abca9491-e80c-416c-b2c4-8fa1db072def</t>
        </is>
      </c>
      <c r="C195" s="6" t="inlineStr">
        <is>
          <t>PCP</t>
        </is>
      </c>
      <c r="D195" s="6" t="inlineStr">
        <is>
          <t>Prospect</t>
        </is>
      </c>
      <c r="E195" s="6" t="inlineStr">
        <is>
          <t>Visit / Prospect</t>
        </is>
      </c>
      <c r="F195" s="6" t="n">
        <v>10</v>
      </c>
      <c r="G195" s="6" t="n">
        <v>0</v>
      </c>
      <c r="H195" s="6" t="inlineStr">
        <is>
          <t>0</t>
        </is>
      </c>
      <c r="I195" s="6" t="inlineStr">
        <is>
          <t>0</t>
        </is>
      </c>
      <c r="J195" s="6" t="inlineStr"/>
      <c r="K195" s="6" t="inlineStr">
        <is>
          <t>2026-06-15</t>
        </is>
      </c>
      <c r="L195" s="6" t="inlineStr">
        <is>
          <t>31</t>
        </is>
      </c>
      <c r="M195" s="6" t="n">
        <v/>
      </c>
      <c r="N195" s="6" t="inlineStr">
        <is>
          <t>45</t>
        </is>
      </c>
      <c r="O195" s="6" t="inlineStr">
        <is>
          <t>C-D18</t>
        </is>
      </c>
      <c r="P195" s="6" t="inlineStr">
        <is>
          <t>Rochester Hills</t>
        </is>
      </c>
      <c r="Q195" s="6" t="inlineStr">
        <is>
          <t>1055 E South Blvd ste 220, Rochester Hills, Michigan, 48307</t>
        </is>
      </c>
      <c r="R195" s="6" t="inlineStr"/>
      <c r="S195" s="6" t="inlineStr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</row>
    <row r="196">
      <c r="A196" s="6" t="inlineStr">
        <is>
          <t>Stamatin Internal Medicine</t>
        </is>
      </c>
      <c r="B196" s="6" t="inlineStr">
        <is>
          <t>68a88cbc-7ff0-4330-89fa-1314674545a9</t>
        </is>
      </c>
      <c r="C196" s="6" t="inlineStr">
        <is>
          <t>PCP</t>
        </is>
      </c>
      <c r="D196" s="6" t="inlineStr">
        <is>
          <t>Prospect</t>
        </is>
      </c>
      <c r="E196" s="6" t="inlineStr">
        <is>
          <t>Visit / Prospect</t>
        </is>
      </c>
      <c r="F196" s="6" t="n">
        <v>10</v>
      </c>
      <c r="G196" s="6" t="n">
        <v>0</v>
      </c>
      <c r="H196" s="6" t="inlineStr">
        <is>
          <t>0</t>
        </is>
      </c>
      <c r="I196" s="6" t="inlineStr">
        <is>
          <t>0</t>
        </is>
      </c>
      <c r="J196" s="6" t="inlineStr"/>
      <c r="K196" s="6" t="inlineStr">
        <is>
          <t>2026-07-15</t>
        </is>
      </c>
      <c r="L196" s="6" t="inlineStr">
        <is>
          <t>1</t>
        </is>
      </c>
      <c r="M196" s="6" t="n">
        <v/>
      </c>
      <c r="N196" s="6" t="inlineStr">
        <is>
          <t>45</t>
        </is>
      </c>
      <c r="O196" s="6" t="inlineStr">
        <is>
          <t>C-D18</t>
        </is>
      </c>
      <c r="P196" s="6" t="inlineStr">
        <is>
          <t>Rochester Hills</t>
        </is>
      </c>
      <c r="Q196" s="6" t="inlineStr">
        <is>
          <t>2710 S Rochester Rd, Ste 4, Rochester Hills, Michigan, 48307</t>
        </is>
      </c>
      <c r="R196" s="6" t="inlineStr"/>
      <c r="S196" s="6" t="inlineStr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</row>
    <row r="197">
      <c r="A197" s="6" t="inlineStr">
        <is>
          <t>Legacy Medical Group</t>
        </is>
      </c>
      <c r="B197" s="6" t="inlineStr">
        <is>
          <t>2977b68e-db50-4231-995d-aea6e32ca71f</t>
        </is>
      </c>
      <c r="C197" s="6" t="inlineStr">
        <is>
          <t>PCP</t>
        </is>
      </c>
      <c r="D197" s="6" t="inlineStr">
        <is>
          <t>Prospect</t>
        </is>
      </c>
      <c r="E197" s="6" t="inlineStr">
        <is>
          <t>Visit / Prospect</t>
        </is>
      </c>
      <c r="F197" s="6" t="n">
        <v>10</v>
      </c>
      <c r="G197" s="6" t="n">
        <v>0</v>
      </c>
      <c r="H197" s="6" t="inlineStr">
        <is>
          <t>0</t>
        </is>
      </c>
      <c r="I197" s="6" t="inlineStr">
        <is>
          <t>0</t>
        </is>
      </c>
      <c r="J197" s="6" t="inlineStr"/>
      <c r="K197" s="6" t="inlineStr">
        <is>
          <t>2026-05-27</t>
        </is>
      </c>
      <c r="L197" s="6" t="inlineStr">
        <is>
          <t>50</t>
        </is>
      </c>
      <c r="M197" s="6" t="n">
        <v/>
      </c>
      <c r="N197" s="6" t="inlineStr">
        <is>
          <t>45</t>
        </is>
      </c>
      <c r="O197" s="6" t="inlineStr">
        <is>
          <t>C-D19</t>
        </is>
      </c>
      <c r="P197" s="6" t="inlineStr">
        <is>
          <t>ROCHESTER HILLS</t>
        </is>
      </c>
      <c r="Q197" s="6" t="inlineStr">
        <is>
          <t>1460 WALTON BLVD STE 200, ROCHESTER HILLS, MI, 48309</t>
        </is>
      </c>
      <c r="R197" s="6" t="inlineStr"/>
      <c r="S197" s="6" t="inlineStr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</row>
    <row r="198">
      <c r="A198" s="6" t="inlineStr">
        <is>
          <t>Rochester Hills Family Physicians (Corewell)</t>
        </is>
      </c>
      <c r="B198" s="6" t="inlineStr">
        <is>
          <t>757de7dd-5282-4788-934b-4beb9c13112f</t>
        </is>
      </c>
      <c r="C198" s="6" t="inlineStr">
        <is>
          <t>PCP</t>
        </is>
      </c>
      <c r="D198" s="6" t="inlineStr">
        <is>
          <t>Prospect</t>
        </is>
      </c>
      <c r="E198" s="6" t="inlineStr">
        <is>
          <t>Visit / Prospect</t>
        </is>
      </c>
      <c r="F198" s="6" t="n">
        <v>10</v>
      </c>
      <c r="G198" s="6" t="n">
        <v>0</v>
      </c>
      <c r="H198" s="6" t="inlineStr">
        <is>
          <t>0</t>
        </is>
      </c>
      <c r="I198" s="6" t="inlineStr">
        <is>
          <t>0</t>
        </is>
      </c>
      <c r="J198" s="6" t="inlineStr"/>
      <c r="K198" s="6" t="inlineStr">
        <is>
          <t>2026-06-08</t>
        </is>
      </c>
      <c r="L198" s="6" t="inlineStr">
        <is>
          <t>38</t>
        </is>
      </c>
      <c r="M198" s="6" t="n">
        <v/>
      </c>
      <c r="N198" s="6" t="inlineStr">
        <is>
          <t>45</t>
        </is>
      </c>
      <c r="O198" s="6" t="inlineStr">
        <is>
          <t>C-D19</t>
        </is>
      </c>
      <c r="P198" s="6" t="inlineStr">
        <is>
          <t>Rochester</t>
        </is>
      </c>
      <c r="Q198" s="6" t="inlineStr">
        <is>
          <t>1202 Walton Blvd, ste 216, Rochester, Michigan, 48307</t>
        </is>
      </c>
      <c r="R198" s="6" t="inlineStr"/>
      <c r="S198" s="6" t="inlineStr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</row>
    <row r="199">
      <c r="A199" s="6" t="inlineStr">
        <is>
          <t>WellHealth Medical Associates - Rochester</t>
        </is>
      </c>
      <c r="B199" s="6" t="inlineStr">
        <is>
          <t>cdc030ac-8c72-4d65-bbbd-b42ea897452b</t>
        </is>
      </c>
      <c r="C199" s="6" t="inlineStr">
        <is>
          <t>PCP</t>
        </is>
      </c>
      <c r="D199" s="6" t="inlineStr">
        <is>
          <t>Prospect</t>
        </is>
      </c>
      <c r="E199" s="6" t="inlineStr">
        <is>
          <t>Visit / Prospect</t>
        </is>
      </c>
      <c r="F199" s="6" t="n">
        <v>10</v>
      </c>
      <c r="G199" s="6" t="n">
        <v>0</v>
      </c>
      <c r="H199" s="6" t="inlineStr">
        <is>
          <t>0</t>
        </is>
      </c>
      <c r="I199" s="6" t="inlineStr">
        <is>
          <t>0</t>
        </is>
      </c>
      <c r="J199" s="6" t="inlineStr"/>
      <c r="K199" s="6" t="inlineStr">
        <is>
          <t>2026-06-08</t>
        </is>
      </c>
      <c r="L199" s="6" t="inlineStr">
        <is>
          <t>38</t>
        </is>
      </c>
      <c r="M199" s="6" t="n">
        <v/>
      </c>
      <c r="N199" s="6" t="inlineStr">
        <is>
          <t>45</t>
        </is>
      </c>
      <c r="O199" s="6" t="inlineStr">
        <is>
          <t>C-D19</t>
        </is>
      </c>
      <c r="P199" s="6" t="inlineStr">
        <is>
          <t>Rochester</t>
        </is>
      </c>
      <c r="Q199" s="6" t="inlineStr">
        <is>
          <t>1202 Walton Blvd. ste 212, Rochester, Michigan, 48307</t>
        </is>
      </c>
      <c r="R199" s="6" t="inlineStr"/>
      <c r="S199" s="6" t="inlineStr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</row>
    <row r="200">
      <c r="A200" s="6" t="inlineStr">
        <is>
          <t>Stoney Creek Physicians</t>
        </is>
      </c>
      <c r="B200" s="6" t="inlineStr">
        <is>
          <t>ff24dc89-5408-4c5d-aa4b-604b524a4b9c</t>
        </is>
      </c>
      <c r="C200" s="6" t="inlineStr">
        <is>
          <t>PCP</t>
        </is>
      </c>
      <c r="D200" s="6" t="inlineStr">
        <is>
          <t>Prospect</t>
        </is>
      </c>
      <c r="E200" s="6" t="inlineStr">
        <is>
          <t>Visit / Prospect</t>
        </is>
      </c>
      <c r="F200" s="6" t="n">
        <v>10</v>
      </c>
      <c r="G200" s="6" t="n">
        <v>0</v>
      </c>
      <c r="H200" s="6" t="inlineStr">
        <is>
          <t>0</t>
        </is>
      </c>
      <c r="I200" s="6" t="inlineStr">
        <is>
          <t>0</t>
        </is>
      </c>
      <c r="J200" s="6" t="inlineStr"/>
      <c r="K200" s="6" t="inlineStr">
        <is>
          <t>2026-07-06</t>
        </is>
      </c>
      <c r="L200" s="6" t="inlineStr">
        <is>
          <t>10</t>
        </is>
      </c>
      <c r="M200" s="6" t="n">
        <v/>
      </c>
      <c r="N200" s="6" t="inlineStr">
        <is>
          <t>45</t>
        </is>
      </c>
      <c r="O200" s="6" t="inlineStr">
        <is>
          <t>C-D19</t>
        </is>
      </c>
      <c r="P200" s="6" t="inlineStr">
        <is>
          <t>Rochester Hills</t>
        </is>
      </c>
      <c r="Q200" s="6" t="inlineStr">
        <is>
          <t>441 S Livernois Rd suite 280, Rochester Hills, Michigan, 48307</t>
        </is>
      </c>
      <c r="R200" s="6" t="inlineStr"/>
      <c r="S200" s="6" t="inlineStr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</row>
    <row r="201">
      <c r="A201" s="6" t="inlineStr">
        <is>
          <t>Chesterfield Family Medicine (Henry Ford)</t>
        </is>
      </c>
      <c r="B201" s="6" t="inlineStr">
        <is>
          <t>1275554073</t>
        </is>
      </c>
      <c r="C201" s="6" t="inlineStr">
        <is>
          <t>PCP</t>
        </is>
      </c>
      <c r="D201" s="6" t="inlineStr">
        <is>
          <t>Prospect</t>
        </is>
      </c>
      <c r="E201" s="6" t="inlineStr">
        <is>
          <t>Visit / Prospect</t>
        </is>
      </c>
      <c r="F201" s="6" t="n">
        <v>10</v>
      </c>
      <c r="G201" s="6" t="n">
        <v>0</v>
      </c>
      <c r="H201" s="6" t="inlineStr">
        <is>
          <t>0</t>
        </is>
      </c>
      <c r="I201" s="6" t="inlineStr">
        <is>
          <t>0</t>
        </is>
      </c>
      <c r="J201" s="6" t="inlineStr"/>
      <c r="K201" s="6" t="inlineStr">
        <is>
          <t>2026-05-19</t>
        </is>
      </c>
      <c r="L201" s="6" t="inlineStr">
        <is>
          <t>58</t>
        </is>
      </c>
      <c r="M201" s="6" t="n">
        <v/>
      </c>
      <c r="N201" s="6" t="inlineStr">
        <is>
          <t>45</t>
        </is>
      </c>
      <c r="O201" s="6" t="inlineStr">
        <is>
          <t>C-D20</t>
        </is>
      </c>
      <c r="P201" s="6" t="inlineStr">
        <is>
          <t>New Baltimore</t>
        </is>
      </c>
      <c r="Q201" s="6" t="inlineStr">
        <is>
          <t>30795 23 Mile Rd, ste 207, New Baltimore, MI, 48047</t>
        </is>
      </c>
      <c r="R201" s="6" t="inlineStr"/>
      <c r="S201" s="6" t="inlineStr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</row>
    <row r="202">
      <c r="A202" s="6" t="inlineStr">
        <is>
          <t>St Clair Orthpaedics &amp; Sports Medicine - Macomb</t>
        </is>
      </c>
      <c r="B202" s="6" t="inlineStr">
        <is>
          <t>5d681a4d-3671-4501-b6d1-7f23b1177209</t>
        </is>
      </c>
      <c r="C202" s="6" t="inlineStr">
        <is>
          <t>Orthopedic</t>
        </is>
      </c>
      <c r="D202" s="6" t="inlineStr">
        <is>
          <t>Prospect</t>
        </is>
      </c>
      <c r="E202" s="6" t="inlineStr">
        <is>
          <t>Visit / Prospect</t>
        </is>
      </c>
      <c r="F202" s="6" t="n">
        <v>10</v>
      </c>
      <c r="G202" s="6" t="n">
        <v>0</v>
      </c>
      <c r="H202" s="6" t="inlineStr">
        <is>
          <t>0</t>
        </is>
      </c>
      <c r="I202" s="6" t="inlineStr">
        <is>
          <t>0</t>
        </is>
      </c>
      <c r="J202" s="6" t="inlineStr"/>
      <c r="K202" s="6" t="inlineStr">
        <is>
          <t>2026-05-06</t>
        </is>
      </c>
      <c r="L202" s="6" t="inlineStr">
        <is>
          <t>71</t>
        </is>
      </c>
      <c r="M202" s="6" t="n">
        <v/>
      </c>
      <c r="N202" s="6" t="inlineStr">
        <is>
          <t>45</t>
        </is>
      </c>
      <c r="O202" s="6" t="inlineStr">
        <is>
          <t>C-D20</t>
        </is>
      </c>
      <c r="P202" s="6" t="inlineStr">
        <is>
          <t>Macomb</t>
        </is>
      </c>
      <c r="Q202" s="6" t="inlineStr">
        <is>
          <t>22701 Hall Rd ste 100, Macomb, Michigan, 48042</t>
        </is>
      </c>
      <c r="R202" s="6" t="inlineStr"/>
      <c r="S202" s="6" t="inlineStr">
        <is>
          <t>Possible competitor (Jul 20 rule) → Review for removal</t>
        </is>
      </c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</row>
    <row r="203">
      <c r="A203" s="6" t="inlineStr">
        <is>
          <t>Emil Sitto MD</t>
        </is>
      </c>
      <c r="B203" s="6" t="inlineStr">
        <is>
          <t>ab929875-5247-4a32-9f8b-d3de09fc715b</t>
        </is>
      </c>
      <c r="C203" s="6" t="inlineStr">
        <is>
          <t>PCP</t>
        </is>
      </c>
      <c r="D203" s="6" t="inlineStr">
        <is>
          <t>Prospect</t>
        </is>
      </c>
      <c r="E203" s="6" t="inlineStr">
        <is>
          <t>Visit / Prospect</t>
        </is>
      </c>
      <c r="F203" s="6" t="n">
        <v>10</v>
      </c>
      <c r="G203" s="6" t="n">
        <v>0</v>
      </c>
      <c r="H203" s="6" t="inlineStr">
        <is>
          <t>0</t>
        </is>
      </c>
      <c r="I203" s="6" t="inlineStr">
        <is>
          <t>0</t>
        </is>
      </c>
      <c r="J203" s="6" t="inlineStr"/>
      <c r="K203" s="6" t="inlineStr">
        <is>
          <t>2026-07-10</t>
        </is>
      </c>
      <c r="L203" s="6" t="inlineStr">
        <is>
          <t>6</t>
        </is>
      </c>
      <c r="M203" s="6" t="n">
        <v/>
      </c>
      <c r="N203" s="6" t="inlineStr">
        <is>
          <t>45</t>
        </is>
      </c>
      <c r="O203" s="6" t="inlineStr">
        <is>
          <t>C-D20</t>
        </is>
      </c>
      <c r="P203" s="6" t="inlineStr">
        <is>
          <t>Macomb</t>
        </is>
      </c>
      <c r="Q203" s="6" t="inlineStr">
        <is>
          <t>51218 Romeo Plank Rd, Macomb, MI, 48042</t>
        </is>
      </c>
      <c r="R203" s="6" t="inlineStr"/>
      <c r="S203" s="6" t="inlineStr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</row>
    <row r="204">
      <c r="A204" s="6" t="inlineStr">
        <is>
          <t>Shelbydale Medical Clinic PC</t>
        </is>
      </c>
      <c r="B204" s="6" t="inlineStr">
        <is>
          <t>aa1947f7-3694-4014-9388-76b8e6da46b8</t>
        </is>
      </c>
      <c r="C204" s="6" t="inlineStr">
        <is>
          <t>PCP</t>
        </is>
      </c>
      <c r="D204" s="6" t="inlineStr">
        <is>
          <t>Prospect</t>
        </is>
      </c>
      <c r="E204" s="6" t="inlineStr">
        <is>
          <t>Visit / Prospect</t>
        </is>
      </c>
      <c r="F204" s="6" t="n">
        <v>10</v>
      </c>
      <c r="G204" s="6" t="n">
        <v>0</v>
      </c>
      <c r="H204" s="6" t="inlineStr">
        <is>
          <t>0</t>
        </is>
      </c>
      <c r="I204" s="6" t="inlineStr">
        <is>
          <t>0</t>
        </is>
      </c>
      <c r="J204" s="6" t="inlineStr"/>
      <c r="K204" s="6" t="inlineStr">
        <is>
          <t>2026-07-07</t>
        </is>
      </c>
      <c r="L204" s="6" t="inlineStr">
        <is>
          <t>9</t>
        </is>
      </c>
      <c r="M204" s="6" t="n">
        <v/>
      </c>
      <c r="N204" s="6" t="inlineStr">
        <is>
          <t>45</t>
        </is>
      </c>
      <c r="O204" s="6" t="inlineStr">
        <is>
          <t>C-D23</t>
        </is>
      </c>
      <c r="P204" s="6" t="inlineStr">
        <is>
          <t>Shelby Township</t>
        </is>
      </c>
      <c r="Q204" s="6" t="inlineStr">
        <is>
          <t>49221 Van Dyke Ave, Shelby Township, MI, 48317</t>
        </is>
      </c>
      <c r="R204" s="6" t="inlineStr"/>
      <c r="S204" s="6" t="inlineStr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</row>
    <row r="205">
      <c r="A205" s="6" t="inlineStr">
        <is>
          <t>MD VIP - Utica</t>
        </is>
      </c>
      <c r="B205" s="6" t="inlineStr">
        <is>
          <t>1912194622</t>
        </is>
      </c>
      <c r="C205" s="6" t="inlineStr">
        <is>
          <t>PCP</t>
        </is>
      </c>
      <c r="D205" s="6" t="inlineStr">
        <is>
          <t>Prospect</t>
        </is>
      </c>
      <c r="E205" s="6" t="inlineStr">
        <is>
          <t>Visit / Prospect</t>
        </is>
      </c>
      <c r="F205" s="6" t="n">
        <v>10</v>
      </c>
      <c r="G205" s="6" t="n">
        <v>0</v>
      </c>
      <c r="H205" s="6" t="inlineStr">
        <is>
          <t>0</t>
        </is>
      </c>
      <c r="I205" s="6" t="inlineStr">
        <is>
          <t>0</t>
        </is>
      </c>
      <c r="J205" s="6" t="inlineStr"/>
      <c r="K205" s="6" t="inlineStr">
        <is>
          <t>2026-07-07</t>
        </is>
      </c>
      <c r="L205" s="6" t="inlineStr">
        <is>
          <t>9</t>
        </is>
      </c>
      <c r="M205" s="6" t="n">
        <v/>
      </c>
      <c r="N205" s="6" t="inlineStr">
        <is>
          <t>45</t>
        </is>
      </c>
      <c r="O205" s="6" t="inlineStr">
        <is>
          <t>C-D23</t>
        </is>
      </c>
      <c r="P205" s="6" t="inlineStr">
        <is>
          <t>Shebly Township</t>
        </is>
      </c>
      <c r="Q205" s="6" t="inlineStr">
        <is>
          <t>47733 Van Dyke Ave, Shebly Township, MI, 48317</t>
        </is>
      </c>
      <c r="R205" s="6" t="inlineStr"/>
      <c r="S205" s="6" t="inlineStr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</row>
    <row r="206">
      <c r="A206" s="6" t="inlineStr">
        <is>
          <t>Live Well Chiro</t>
        </is>
      </c>
      <c r="B206" s="6" t="inlineStr">
        <is>
          <t>fb391572-ec70-41c7-a503-4e6be4d20c7a</t>
        </is>
      </c>
      <c r="C206" s="6" t="inlineStr">
        <is>
          <t>Chiropractor</t>
        </is>
      </c>
      <c r="D206" s="6" t="inlineStr">
        <is>
          <t>Prospect</t>
        </is>
      </c>
      <c r="E206" s="6" t="inlineStr">
        <is>
          <t>Visit / Prospect</t>
        </is>
      </c>
      <c r="F206" s="6" t="n">
        <v>10</v>
      </c>
      <c r="G206" s="6" t="n">
        <v>0</v>
      </c>
      <c r="H206" s="6" t="inlineStr">
        <is>
          <t>0</t>
        </is>
      </c>
      <c r="I206" s="6" t="inlineStr">
        <is>
          <t>0</t>
        </is>
      </c>
      <c r="J206" s="6" t="inlineStr"/>
      <c r="K206" s="6" t="inlineStr">
        <is>
          <t>2026-07-15</t>
        </is>
      </c>
      <c r="L206" s="6" t="inlineStr">
        <is>
          <t>1</t>
        </is>
      </c>
      <c r="M206" s="6" t="n">
        <v/>
      </c>
      <c r="N206" s="6" t="inlineStr">
        <is>
          <t>45</t>
        </is>
      </c>
      <c r="O206" s="6" t="inlineStr">
        <is>
          <t>C-D24</t>
        </is>
      </c>
      <c r="P206" s="6" t="inlineStr">
        <is>
          <t>Rochester Hills</t>
        </is>
      </c>
      <c r="Q206" s="6" t="inlineStr">
        <is>
          <t>455 Barclay Cir, Rochester Hills, Michigan, 48307</t>
        </is>
      </c>
      <c r="R206" s="6" t="inlineStr"/>
      <c r="S206" s="6" t="inlineStr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</row>
    <row r="207">
      <c r="A207" s="6" t="inlineStr">
        <is>
          <t>Maan Askar MD - Hoover (Thursdays)</t>
        </is>
      </c>
      <c r="B207" s="6" t="inlineStr">
        <is>
          <t>3dd30d21-d9d8-4640-b79e-fdec972d0ad3</t>
        </is>
      </c>
      <c r="C207" s="6" t="inlineStr">
        <is>
          <t>PCP</t>
        </is>
      </c>
      <c r="D207" s="6" t="inlineStr">
        <is>
          <t>Prospect</t>
        </is>
      </c>
      <c r="E207" s="6" t="inlineStr">
        <is>
          <t>Visit / Prospect</t>
        </is>
      </c>
      <c r="F207" s="6" t="n">
        <v>10</v>
      </c>
      <c r="G207" s="6" t="n">
        <v>0</v>
      </c>
      <c r="H207" s="6" t="inlineStr">
        <is>
          <t>0</t>
        </is>
      </c>
      <c r="I207" s="6" t="inlineStr">
        <is>
          <t>0</t>
        </is>
      </c>
      <c r="J207" s="6" t="inlineStr"/>
      <c r="K207" s="6" t="inlineStr">
        <is>
          <t>2026-07-09</t>
        </is>
      </c>
      <c r="L207" s="6" t="inlineStr">
        <is>
          <t>7</t>
        </is>
      </c>
      <c r="M207" s="6" t="n">
        <v/>
      </c>
      <c r="N207" s="6" t="inlineStr">
        <is>
          <t>45</t>
        </is>
      </c>
      <c r="O207" s="6" t="inlineStr">
        <is>
          <t>C-D25</t>
        </is>
      </c>
      <c r="P207" s="6" t="inlineStr">
        <is>
          <t>Warren</t>
        </is>
      </c>
      <c r="Q207" s="6" t="inlineStr">
        <is>
          <t>26440 Hoover Rd ste c, Warren, Michigan, 48089</t>
        </is>
      </c>
      <c r="R207" s="6" t="inlineStr"/>
      <c r="S207" s="6" t="inlineStr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</row>
    <row r="208">
      <c r="A208" s="6" t="inlineStr">
        <is>
          <t>Motor City Orthopedics - Warren</t>
        </is>
      </c>
      <c r="B208" s="6" t="inlineStr">
        <is>
          <t>c711e9c2-58e1-42f5-ab75-c835ceae8875</t>
        </is>
      </c>
      <c r="C208" s="6" t="inlineStr">
        <is>
          <t>Orthopedic</t>
        </is>
      </c>
      <c r="D208" s="6" t="inlineStr">
        <is>
          <t>Prospect</t>
        </is>
      </c>
      <c r="E208" s="6" t="inlineStr">
        <is>
          <t>Visit / Prospect</t>
        </is>
      </c>
      <c r="F208" s="6" t="n">
        <v>10</v>
      </c>
      <c r="G208" s="6" t="n">
        <v>0</v>
      </c>
      <c r="H208" s="6" t="inlineStr">
        <is>
          <t>0</t>
        </is>
      </c>
      <c r="I208" s="6" t="inlineStr">
        <is>
          <t>0</t>
        </is>
      </c>
      <c r="J208" s="6" t="inlineStr"/>
      <c r="K208" s="6" t="inlineStr">
        <is>
          <t>2026-05-05</t>
        </is>
      </c>
      <c r="L208" s="6" t="inlineStr">
        <is>
          <t>72</t>
        </is>
      </c>
      <c r="M208" s="6" t="n">
        <v/>
      </c>
      <c r="N208" s="6" t="inlineStr">
        <is>
          <t>45</t>
        </is>
      </c>
      <c r="O208" s="6" t="inlineStr">
        <is>
          <t>C-D25</t>
        </is>
      </c>
      <c r="P208" s="6" t="inlineStr">
        <is>
          <t>Warren</t>
        </is>
      </c>
      <c r="Q208" s="6" t="inlineStr">
        <is>
          <t>11900 Twelve Mile Rd suite 300, Warren, Michigan, 48093</t>
        </is>
      </c>
      <c r="R208" s="6" t="inlineStr"/>
      <c r="S208" s="6" t="inlineStr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</row>
    <row r="209">
      <c r="A209" s="6" t="inlineStr">
        <is>
          <t>Your Physicians</t>
        </is>
      </c>
      <c r="B209" s="6" t="inlineStr">
        <is>
          <t>6e9dda47-d440-4432-a96b-aaef04a18257</t>
        </is>
      </c>
      <c r="C209" s="6" t="inlineStr">
        <is>
          <t>PCP</t>
        </is>
      </c>
      <c r="D209" s="6" t="inlineStr">
        <is>
          <t>Prospect</t>
        </is>
      </c>
      <c r="E209" s="6" t="inlineStr">
        <is>
          <t>Visit / Prospect</t>
        </is>
      </c>
      <c r="F209" s="6" t="n">
        <v>10</v>
      </c>
      <c r="G209" s="6" t="n">
        <v>0</v>
      </c>
      <c r="H209" s="6" t="inlineStr">
        <is>
          <t>0</t>
        </is>
      </c>
      <c r="I209" s="6" t="inlineStr">
        <is>
          <t>0</t>
        </is>
      </c>
      <c r="J209" s="6" t="inlineStr"/>
      <c r="K209" s="6" t="inlineStr">
        <is>
          <t>2026-07-06</t>
        </is>
      </c>
      <c r="L209" s="6" t="inlineStr">
        <is>
          <t>10</t>
        </is>
      </c>
      <c r="M209" s="6" t="n">
        <v/>
      </c>
      <c r="N209" s="6" t="inlineStr">
        <is>
          <t>45</t>
        </is>
      </c>
      <c r="O209" s="6" t="inlineStr">
        <is>
          <t>C-D26</t>
        </is>
      </c>
      <c r="P209" s="6" t="inlineStr">
        <is>
          <t>Rochester Hills</t>
        </is>
      </c>
      <c r="Q209" s="6" t="inlineStr">
        <is>
          <t>441 S Livernois Rd suite 280, Rochester Hills, Michigan, 48307</t>
        </is>
      </c>
      <c r="R209" s="6" t="inlineStr"/>
      <c r="S209" s="6" t="inlineStr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</row>
    <row r="210">
      <c r="A210" s="6" t="inlineStr">
        <is>
          <t>Trinity IHA Primary Care - Rochester Hills</t>
        </is>
      </c>
      <c r="B210" s="6" t="inlineStr">
        <is>
          <t>9b6db0bd-31b4-4d7e-b351-e4ee78a4defa</t>
        </is>
      </c>
      <c r="C210" s="6" t="inlineStr">
        <is>
          <t>PCP</t>
        </is>
      </c>
      <c r="D210" s="6" t="inlineStr">
        <is>
          <t>Prospect</t>
        </is>
      </c>
      <c r="E210" s="6" t="inlineStr">
        <is>
          <t>Visit / Prospect</t>
        </is>
      </c>
      <c r="F210" s="6" t="n">
        <v>10</v>
      </c>
      <c r="G210" s="6" t="n">
        <v>0</v>
      </c>
      <c r="H210" s="6" t="inlineStr">
        <is>
          <t>0</t>
        </is>
      </c>
      <c r="I210" s="6" t="inlineStr">
        <is>
          <t>0</t>
        </is>
      </c>
      <c r="J210" s="6" t="inlineStr"/>
      <c r="K210" s="6" t="inlineStr">
        <is>
          <t>2026-05-27</t>
        </is>
      </c>
      <c r="L210" s="6" t="inlineStr">
        <is>
          <t>50</t>
        </is>
      </c>
      <c r="M210" s="6" t="n">
        <v/>
      </c>
      <c r="N210" s="6" t="inlineStr">
        <is>
          <t>45</t>
        </is>
      </c>
      <c r="O210" s="6" t="inlineStr">
        <is>
          <t>C-D26</t>
        </is>
      </c>
      <c r="P210" s="6" t="inlineStr">
        <is>
          <t>Rochester Hills</t>
        </is>
      </c>
      <c r="Q210" s="6" t="inlineStr">
        <is>
          <t>1854 West Auburn Road, Rochester Hills, Michigan, 48309</t>
        </is>
      </c>
      <c r="R210" s="6" t="inlineStr"/>
      <c r="S210" s="6" t="inlineStr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</row>
    <row r="211">
      <c r="A211" s="6" t="inlineStr">
        <is>
          <t>Albert Przybylski DO</t>
        </is>
      </c>
      <c r="B211" s="6" t="inlineStr">
        <is>
          <t>1013988773</t>
        </is>
      </c>
      <c r="C211" s="6" t="inlineStr">
        <is>
          <t>PCP</t>
        </is>
      </c>
      <c r="D211" s="6" t="inlineStr">
        <is>
          <t>Prospect</t>
        </is>
      </c>
      <c r="E211" s="6" t="inlineStr">
        <is>
          <t>Visit / Prospect</t>
        </is>
      </c>
      <c r="F211" s="6" t="n">
        <v>10</v>
      </c>
      <c r="G211" s="6" t="n">
        <v>0</v>
      </c>
      <c r="H211" s="6" t="inlineStr">
        <is>
          <t>0</t>
        </is>
      </c>
      <c r="I211" s="6" t="inlineStr">
        <is>
          <t>0</t>
        </is>
      </c>
      <c r="J211" s="6" t="inlineStr"/>
      <c r="K211" s="6" t="inlineStr">
        <is>
          <t>2026-06-16</t>
        </is>
      </c>
      <c r="L211" s="6" t="inlineStr">
        <is>
          <t>30</t>
        </is>
      </c>
      <c r="M211" s="6" t="n">
        <v/>
      </c>
      <c r="N211" s="6" t="inlineStr">
        <is>
          <t>45</t>
        </is>
      </c>
      <c r="O211" s="6" t="inlineStr">
        <is>
          <t>C-D27</t>
        </is>
      </c>
      <c r="P211" s="6" t="inlineStr">
        <is>
          <t>Clinton Township</t>
        </is>
      </c>
      <c r="Q211" s="6" t="inlineStr">
        <is>
          <t>36549 Harper Ave, ste B, Clinton Township, MI, 48035</t>
        </is>
      </c>
      <c r="R211" s="6" t="inlineStr"/>
      <c r="S211" s="6" t="inlineStr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</row>
    <row r="212">
      <c r="A212" s="6" t="inlineStr">
        <is>
          <t>MEGHA MOHEY, MD, PC</t>
        </is>
      </c>
      <c r="B212" s="6" t="inlineStr">
        <is>
          <t>141f9961-1fe4-4d6c-b6e0-7e89805d1153</t>
        </is>
      </c>
      <c r="C212" s="6" t="inlineStr">
        <is>
          <t>PCP</t>
        </is>
      </c>
      <c r="D212" s="6" t="inlineStr">
        <is>
          <t>Prospect</t>
        </is>
      </c>
      <c r="E212" s="6" t="inlineStr">
        <is>
          <t>Visit / Prospect</t>
        </is>
      </c>
      <c r="F212" s="6" t="n">
        <v>10</v>
      </c>
      <c r="G212" s="6" t="n">
        <v>0</v>
      </c>
      <c r="H212" s="6" t="inlineStr">
        <is>
          <t>0</t>
        </is>
      </c>
      <c r="I212" s="6" t="inlineStr">
        <is>
          <t>0</t>
        </is>
      </c>
      <c r="J212" s="6" t="inlineStr"/>
      <c r="K212" s="6" t="inlineStr">
        <is>
          <t>2026-07-06</t>
        </is>
      </c>
      <c r="L212" s="6" t="inlineStr">
        <is>
          <t>10</t>
        </is>
      </c>
      <c r="M212" s="6" t="n">
        <v/>
      </c>
      <c r="N212" s="6" t="inlineStr">
        <is>
          <t>45</t>
        </is>
      </c>
      <c r="O212" s="6" t="inlineStr">
        <is>
          <t>C-D29</t>
        </is>
      </c>
      <c r="P212" s="6" t="inlineStr">
        <is>
          <t>SOUTHGATE</t>
        </is>
      </c>
      <c r="Q212" s="6" t="inlineStr">
        <is>
          <t>14752 NORTHLINE RD, SOUTHGATE, MI, 48195</t>
        </is>
      </c>
      <c r="R212" s="6" t="inlineStr"/>
      <c r="S212" s="6" t="inlineStr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</row>
    <row r="213">
      <c r="A213" s="6" t="inlineStr">
        <is>
          <t>Ghassan Atto PLLC</t>
        </is>
      </c>
      <c r="B213" s="6" t="inlineStr">
        <is>
          <t>d66f07f6-09c1-4e7b-89b1-4c2e8cf825e2</t>
        </is>
      </c>
      <c r="C213" s="6" t="inlineStr">
        <is>
          <t>PCP</t>
        </is>
      </c>
      <c r="D213" s="6" t="inlineStr">
        <is>
          <t>Prospect</t>
        </is>
      </c>
      <c r="E213" s="6" t="inlineStr">
        <is>
          <t>Visit / Prospect</t>
        </is>
      </c>
      <c r="F213" s="6" t="n">
        <v>10</v>
      </c>
      <c r="G213" s="6" t="n">
        <v>0</v>
      </c>
      <c r="H213" s="6" t="inlineStr">
        <is>
          <t>0</t>
        </is>
      </c>
      <c r="I213" s="6" t="inlineStr">
        <is>
          <t>0</t>
        </is>
      </c>
      <c r="J213" s="6" t="inlineStr"/>
      <c r="K213" s="6" t="inlineStr">
        <is>
          <t>2026-07-14</t>
        </is>
      </c>
      <c r="L213" s="6" t="inlineStr">
        <is>
          <t>2</t>
        </is>
      </c>
      <c r="M213" s="6" t="n">
        <v/>
      </c>
      <c r="N213" s="6" t="inlineStr">
        <is>
          <t>45</t>
        </is>
      </c>
      <c r="O213" s="6" t="inlineStr">
        <is>
          <t>C-D29</t>
        </is>
      </c>
      <c r="P213" s="6" t="inlineStr">
        <is>
          <t>Southgate</t>
        </is>
      </c>
      <c r="Q213" s="6" t="inlineStr">
        <is>
          <t>11275 Allen Road, Southgate, Michigan, 48195</t>
        </is>
      </c>
      <c r="R213" s="6" t="inlineStr"/>
      <c r="S213" s="6" t="inlineStr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</row>
    <row r="214">
      <c r="A214" s="6" t="inlineStr">
        <is>
          <t>Precise Medical</t>
        </is>
      </c>
      <c r="B214" s="6" t="inlineStr">
        <is>
          <t>fbcc80e3-33d5-452f-8300-be884c2786eb</t>
        </is>
      </c>
      <c r="C214" s="6" t="inlineStr">
        <is>
          <t>PCP</t>
        </is>
      </c>
      <c r="D214" s="6" t="inlineStr">
        <is>
          <t>Prospect</t>
        </is>
      </c>
      <c r="E214" s="6" t="inlineStr">
        <is>
          <t>Visit / Prospect</t>
        </is>
      </c>
      <c r="F214" s="6" t="n">
        <v>10</v>
      </c>
      <c r="G214" s="6" t="n">
        <v>0</v>
      </c>
      <c r="H214" s="6" t="inlineStr">
        <is>
          <t>0</t>
        </is>
      </c>
      <c r="I214" s="6" t="inlineStr">
        <is>
          <t>0</t>
        </is>
      </c>
      <c r="J214" s="6" t="inlineStr"/>
      <c r="K214" s="6" t="inlineStr">
        <is>
          <t>2026-06-23</t>
        </is>
      </c>
      <c r="L214" s="6" t="inlineStr">
        <is>
          <t>23</t>
        </is>
      </c>
      <c r="M214" s="6" t="n">
        <v/>
      </c>
      <c r="N214" s="6" t="inlineStr">
        <is>
          <t>45</t>
        </is>
      </c>
      <c r="O214" s="6" t="inlineStr">
        <is>
          <t>C-D32</t>
        </is>
      </c>
      <c r="P214" s="6" t="inlineStr">
        <is>
          <t>Rochester Hills</t>
        </is>
      </c>
      <c r="Q214" s="6" t="inlineStr">
        <is>
          <t>1701 E South Blvd suite b75, Rochester Hills, Michigan, 48307</t>
        </is>
      </c>
      <c r="R214" s="6" t="inlineStr"/>
      <c r="S214" s="6" t="inlineStr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</row>
    <row r="215">
      <c r="A215" s="6" t="inlineStr">
        <is>
          <t>Gilead Pain Care</t>
        </is>
      </c>
      <c r="B215" s="6" t="inlineStr">
        <is>
          <t>7f81b39e-98cc-4f50-a8d8-daebc492d381</t>
        </is>
      </c>
      <c r="C215" s="6" t="inlineStr">
        <is>
          <t>Pain</t>
        </is>
      </c>
      <c r="D215" s="6" t="inlineStr">
        <is>
          <t>Prospect</t>
        </is>
      </c>
      <c r="E215" s="6" t="inlineStr">
        <is>
          <t>Visit / Prospect</t>
        </is>
      </c>
      <c r="F215" s="6" t="n">
        <v>9</v>
      </c>
      <c r="G215" s="6" t="n">
        <v>0</v>
      </c>
      <c r="H215" s="6" t="inlineStr">
        <is>
          <t>0</t>
        </is>
      </c>
      <c r="I215" s="6" t="inlineStr">
        <is>
          <t>0</t>
        </is>
      </c>
      <c r="J215" s="6" t="inlineStr"/>
      <c r="K215" s="6" t="inlineStr">
        <is>
          <t>2025-08-13</t>
        </is>
      </c>
      <c r="L215" s="6" t="inlineStr">
        <is>
          <t>337</t>
        </is>
      </c>
      <c r="M215" s="6" t="n">
        <v/>
      </c>
      <c r="N215" s="6" t="inlineStr">
        <is>
          <t>45</t>
        </is>
      </c>
      <c r="O215" s="6" t="inlineStr">
        <is>
          <t>C-D01</t>
        </is>
      </c>
      <c r="P215" s="6" t="inlineStr">
        <is>
          <t>Clinton Township</t>
        </is>
      </c>
      <c r="Q215" s="6" t="inlineStr">
        <is>
          <t>39651 Garfield Road, Clinton Township, Michigan, 48038</t>
        </is>
      </c>
      <c r="R215" s="6" t="inlineStr"/>
      <c r="S215" s="6" t="inlineStr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</row>
    <row r="216">
      <c r="A216" s="6" t="inlineStr">
        <is>
          <t>North Point Medical</t>
        </is>
      </c>
      <c r="B216" s="6" t="inlineStr">
        <is>
          <t>17d9d453-263e-48c1-895b-73d68979325d</t>
        </is>
      </c>
      <c r="C216" s="6" t="inlineStr">
        <is>
          <t>PCP</t>
        </is>
      </c>
      <c r="D216" s="6" t="inlineStr">
        <is>
          <t>Prospect</t>
        </is>
      </c>
      <c r="E216" s="6" t="inlineStr">
        <is>
          <t>Visit / Prospect</t>
        </is>
      </c>
      <c r="F216" s="6" t="n">
        <v>9</v>
      </c>
      <c r="G216" s="6" t="n">
        <v>0</v>
      </c>
      <c r="H216" s="6" t="inlineStr">
        <is>
          <t>0</t>
        </is>
      </c>
      <c r="I216" s="6" t="inlineStr">
        <is>
          <t>0</t>
        </is>
      </c>
      <c r="J216" s="6" t="inlineStr"/>
      <c r="K216" s="6" t="inlineStr">
        <is>
          <t>2026-06-30</t>
        </is>
      </c>
      <c r="L216" s="6" t="inlineStr">
        <is>
          <t>16</t>
        </is>
      </c>
      <c r="M216" s="6" t="n">
        <v/>
      </c>
      <c r="N216" s="6" t="inlineStr">
        <is>
          <t>45</t>
        </is>
      </c>
      <c r="O216" s="6" t="inlineStr">
        <is>
          <t>C-D02</t>
        </is>
      </c>
      <c r="P216" s="6" t="inlineStr">
        <is>
          <t>Fair Haven</t>
        </is>
      </c>
      <c r="Q216" s="6" t="inlineStr">
        <is>
          <t>9838 Dixie Hwy, Fair Haven, mi, 48023</t>
        </is>
      </c>
      <c r="R216" s="6" t="inlineStr"/>
      <c r="S216" s="6" t="inlineStr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</row>
    <row r="217">
      <c r="A217" s="6" t="inlineStr">
        <is>
          <t>Primary Medical Services</t>
        </is>
      </c>
      <c r="B217" s="6" t="inlineStr">
        <is>
          <t>30b11efd-3e51-4d39-aace-cfc33153c87d</t>
        </is>
      </c>
      <c r="C217" s="6" t="inlineStr">
        <is>
          <t>PCP</t>
        </is>
      </c>
      <c r="D217" s="6" t="inlineStr">
        <is>
          <t>Prospect</t>
        </is>
      </c>
      <c r="E217" s="6" t="inlineStr">
        <is>
          <t>Visit / Prospect</t>
        </is>
      </c>
      <c r="F217" s="6" t="n">
        <v>9</v>
      </c>
      <c r="G217" s="6" t="n">
        <v>0</v>
      </c>
      <c r="H217" s="6" t="inlineStr">
        <is>
          <t>0</t>
        </is>
      </c>
      <c r="I217" s="6" t="inlineStr">
        <is>
          <t>0</t>
        </is>
      </c>
      <c r="J217" s="6" t="inlineStr"/>
      <c r="K217" s="6" t="inlineStr">
        <is>
          <t>2026-06-24</t>
        </is>
      </c>
      <c r="L217" s="6" t="inlineStr">
        <is>
          <t>22</t>
        </is>
      </c>
      <c r="M217" s="6" t="n">
        <v/>
      </c>
      <c r="N217" s="6" t="inlineStr">
        <is>
          <t>45</t>
        </is>
      </c>
      <c r="O217" s="6" t="inlineStr">
        <is>
          <t>C-D03</t>
        </is>
      </c>
      <c r="P217" s="6" t="inlineStr">
        <is>
          <t>HAZEL PARK</t>
        </is>
      </c>
      <c r="Q217" s="6" t="inlineStr">
        <is>
          <t>24503 John R RD, HAZEL PARK, MI, 48030</t>
        </is>
      </c>
      <c r="R217" s="6" t="inlineStr"/>
      <c r="S217" s="6" t="inlineStr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</row>
    <row r="218">
      <c r="A218" s="6" t="inlineStr">
        <is>
          <t>Dennis G Kelly DO</t>
        </is>
      </c>
      <c r="B218" s="6" t="inlineStr">
        <is>
          <t>1619909793</t>
        </is>
      </c>
      <c r="C218" s="6" t="inlineStr">
        <is>
          <t>Orthopedic</t>
        </is>
      </c>
      <c r="D218" s="6" t="inlineStr">
        <is>
          <t>Prospect</t>
        </is>
      </c>
      <c r="E218" s="6" t="inlineStr">
        <is>
          <t>Visit / Prospect</t>
        </is>
      </c>
      <c r="F218" s="6" t="n">
        <v>9</v>
      </c>
      <c r="G218" s="6" t="n">
        <v>0</v>
      </c>
      <c r="H218" s="6" t="inlineStr">
        <is>
          <t>0</t>
        </is>
      </c>
      <c r="I218" s="6" t="inlineStr">
        <is>
          <t>0</t>
        </is>
      </c>
      <c r="J218" s="6" t="inlineStr"/>
      <c r="K218" s="6" t="inlineStr">
        <is>
          <t>2026-05-01</t>
        </is>
      </c>
      <c r="L218" s="6" t="inlineStr">
        <is>
          <t>76</t>
        </is>
      </c>
      <c r="M218" s="6" t="n">
        <v/>
      </c>
      <c r="N218" s="6" t="inlineStr">
        <is>
          <t>45</t>
        </is>
      </c>
      <c r="O218" s="6" t="inlineStr">
        <is>
          <t>C-D03</t>
        </is>
      </c>
      <c r="P218" s="6" t="inlineStr">
        <is>
          <t>Madison Heights</t>
        </is>
      </c>
      <c r="Q218" s="6" t="inlineStr">
        <is>
          <t>27483 Dequindre Rd, Madison Heights, MI, 480713491</t>
        </is>
      </c>
      <c r="R218" s="6" t="inlineStr"/>
      <c r="S218" s="6" t="inlineStr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</row>
    <row r="219">
      <c r="A219" s="6" t="inlineStr">
        <is>
          <t>Office of Sasenarine Persaud, MD</t>
        </is>
      </c>
      <c r="B219" s="6" t="inlineStr">
        <is>
          <t>688d6dc6-9189-4fe3-8237-807c5059d797</t>
        </is>
      </c>
      <c r="C219" s="6" t="inlineStr">
        <is>
          <t>PCP</t>
        </is>
      </c>
      <c r="D219" s="6" t="inlineStr">
        <is>
          <t>Prospect</t>
        </is>
      </c>
      <c r="E219" s="6" t="inlineStr">
        <is>
          <t>Visit / Prospect</t>
        </is>
      </c>
      <c r="F219" s="6" t="n">
        <v>9</v>
      </c>
      <c r="G219" s="6" t="n">
        <v>0</v>
      </c>
      <c r="H219" s="6" t="inlineStr">
        <is>
          <t>0</t>
        </is>
      </c>
      <c r="I219" s="6" t="inlineStr">
        <is>
          <t>0</t>
        </is>
      </c>
      <c r="J219" s="6" t="inlineStr"/>
      <c r="K219" s="6" t="inlineStr">
        <is>
          <t>2026-06-10</t>
        </is>
      </c>
      <c r="L219" s="6" t="inlineStr">
        <is>
          <t>36</t>
        </is>
      </c>
      <c r="M219" s="6" t="n">
        <v/>
      </c>
      <c r="N219" s="6" t="inlineStr">
        <is>
          <t>45</t>
        </is>
      </c>
      <c r="O219" s="6" t="inlineStr">
        <is>
          <t>C-D04</t>
        </is>
      </c>
      <c r="P219" s="6" t="inlineStr">
        <is>
          <t>Clawson</t>
        </is>
      </c>
      <c r="Q219" s="6" t="inlineStr">
        <is>
          <t>314 N Main St, Clawson, Michigan, 48017</t>
        </is>
      </c>
      <c r="R219" s="6" t="inlineStr"/>
      <c r="S219" s="6" t="inlineStr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</row>
    <row r="220">
      <c r="A220" s="6" t="inlineStr">
        <is>
          <t>Berkley Medical Center</t>
        </is>
      </c>
      <c r="B220" s="6" t="inlineStr">
        <is>
          <t>1023224664</t>
        </is>
      </c>
      <c r="C220" s="6" t="inlineStr">
        <is>
          <t>Urgent Care</t>
        </is>
      </c>
      <c r="D220" s="6" t="inlineStr">
        <is>
          <t>Prospect</t>
        </is>
      </c>
      <c r="E220" s="6" t="inlineStr">
        <is>
          <t>Visit / Prospect</t>
        </is>
      </c>
      <c r="F220" s="6" t="n">
        <v>9</v>
      </c>
      <c r="G220" s="6" t="n">
        <v>0</v>
      </c>
      <c r="H220" s="6" t="inlineStr">
        <is>
          <t>0</t>
        </is>
      </c>
      <c r="I220" s="6" t="inlineStr">
        <is>
          <t>0</t>
        </is>
      </c>
      <c r="J220" s="6" t="inlineStr"/>
      <c r="K220" s="6" t="inlineStr">
        <is>
          <t>2026-06-17</t>
        </is>
      </c>
      <c r="L220" s="6" t="inlineStr">
        <is>
          <t>29</t>
        </is>
      </c>
      <c r="M220" s="6" t="n">
        <v/>
      </c>
      <c r="N220" s="6" t="inlineStr">
        <is>
          <t>45</t>
        </is>
      </c>
      <c r="O220" s="6" t="inlineStr">
        <is>
          <t>C-D04</t>
        </is>
      </c>
      <c r="P220" s="6" t="inlineStr">
        <is>
          <t>Berkley</t>
        </is>
      </c>
      <c r="Q220" s="6" t="inlineStr">
        <is>
          <t>3345 Coolidge Hwy, Berkley, MI, 48072</t>
        </is>
      </c>
      <c r="R220" s="6" t="inlineStr"/>
      <c r="S220" s="6" t="inlineStr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</row>
    <row r="221">
      <c r="A221" s="6" t="inlineStr">
        <is>
          <t>Novus Primary Care</t>
        </is>
      </c>
      <c r="B221" s="6" t="inlineStr">
        <is>
          <t>feacb877-2f93-46f2-94a1-dd073278159f</t>
        </is>
      </c>
      <c r="C221" s="6" t="inlineStr">
        <is>
          <t>PCP</t>
        </is>
      </c>
      <c r="D221" s="6" t="inlineStr">
        <is>
          <t>Prospect</t>
        </is>
      </c>
      <c r="E221" s="6" t="inlineStr">
        <is>
          <t>Visit / Prospect</t>
        </is>
      </c>
      <c r="F221" s="6" t="n">
        <v>9</v>
      </c>
      <c r="G221" s="6" t="n">
        <v>0</v>
      </c>
      <c r="H221" s="6" t="inlineStr">
        <is>
          <t>0</t>
        </is>
      </c>
      <c r="I221" s="6" t="inlineStr">
        <is>
          <t>0</t>
        </is>
      </c>
      <c r="J221" s="6" t="inlineStr"/>
      <c r="K221" s="6" t="inlineStr">
        <is>
          <t>2026-06-17</t>
        </is>
      </c>
      <c r="L221" s="6" t="inlineStr">
        <is>
          <t>29</t>
        </is>
      </c>
      <c r="M221" s="6" t="n">
        <v/>
      </c>
      <c r="N221" s="6" t="inlineStr">
        <is>
          <t>45</t>
        </is>
      </c>
      <c r="O221" s="6" t="inlineStr">
        <is>
          <t>C-D04</t>
        </is>
      </c>
      <c r="P221" s="6" t="inlineStr">
        <is>
          <t>Berkley</t>
        </is>
      </c>
      <c r="Q221" s="6" t="inlineStr">
        <is>
          <t>3211 Coolidge Hwy, Berkley, Michigan, 48072</t>
        </is>
      </c>
      <c r="R221" s="6" t="inlineStr"/>
      <c r="S221" s="6" t="inlineStr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</row>
    <row r="222">
      <c r="A222" s="6" t="inlineStr">
        <is>
          <t>Premier Orthopedics &amp; Sports Medicine</t>
        </is>
      </c>
      <c r="B222" s="6" t="inlineStr">
        <is>
          <t>4659932c-d03e-4eaf-b084-f1c5c8002767</t>
        </is>
      </c>
      <c r="C222" s="6" t="inlineStr">
        <is>
          <t>Orthopedic</t>
        </is>
      </c>
      <c r="D222" s="6" t="inlineStr">
        <is>
          <t>Prospect</t>
        </is>
      </c>
      <c r="E222" s="6" t="inlineStr">
        <is>
          <t>Visit / Prospect</t>
        </is>
      </c>
      <c r="F222" s="6" t="n">
        <v>9</v>
      </c>
      <c r="G222" s="6" t="n">
        <v>0</v>
      </c>
      <c r="H222" s="6" t="inlineStr">
        <is>
          <t>0</t>
        </is>
      </c>
      <c r="I222" s="6" t="inlineStr">
        <is>
          <t>0</t>
        </is>
      </c>
      <c r="J222" s="6" t="inlineStr"/>
      <c r="K222" s="6" t="inlineStr">
        <is>
          <t>2025-09-15</t>
        </is>
      </c>
      <c r="L222" s="6" t="inlineStr">
        <is>
          <t>304</t>
        </is>
      </c>
      <c r="M222" s="6" t="n">
        <v/>
      </c>
      <c r="N222" s="6" t="inlineStr">
        <is>
          <t>45</t>
        </is>
      </c>
      <c r="O222" s="6" t="inlineStr">
        <is>
          <t>C-D05</t>
        </is>
      </c>
      <c r="P222" s="6" t="inlineStr">
        <is>
          <t>St. Clair Shores</t>
        </is>
      </c>
      <c r="Q222" s="6" t="inlineStr">
        <is>
          <t>25631 Little Mack Ave suite 102, St. Clair Shores, Michigan, 48081</t>
        </is>
      </c>
      <c r="R222" s="6" t="inlineStr"/>
      <c r="S222" s="6" t="inlineStr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</row>
    <row r="223">
      <c r="A223" s="6" t="inlineStr">
        <is>
          <t>Center for Preventative Medicine</t>
        </is>
      </c>
      <c r="B223" s="6" t="inlineStr">
        <is>
          <t>1023116068</t>
        </is>
      </c>
      <c r="C223" s="6" t="inlineStr">
        <is>
          <t>Pain</t>
        </is>
      </c>
      <c r="D223" s="6" t="inlineStr">
        <is>
          <t>Prospect</t>
        </is>
      </c>
      <c r="E223" s="6" t="inlineStr">
        <is>
          <t>Visit / Prospect</t>
        </is>
      </c>
      <c r="F223" s="6" t="n">
        <v>9</v>
      </c>
      <c r="G223" s="6" t="n">
        <v>0</v>
      </c>
      <c r="H223" s="6" t="inlineStr">
        <is>
          <t>0</t>
        </is>
      </c>
      <c r="I223" s="6" t="inlineStr">
        <is>
          <t>0</t>
        </is>
      </c>
      <c r="J223" s="6" t="inlineStr"/>
      <c r="K223" s="6" t="inlineStr">
        <is>
          <t>2025-01-14</t>
        </is>
      </c>
      <c r="L223" s="6" t="inlineStr">
        <is>
          <t>548</t>
        </is>
      </c>
      <c r="M223" s="6" t="n">
        <v/>
      </c>
      <c r="N223" s="6" t="inlineStr">
        <is>
          <t>45</t>
        </is>
      </c>
      <c r="O223" s="6" t="inlineStr">
        <is>
          <t>C-D06</t>
        </is>
      </c>
      <c r="P223" s="6" t="inlineStr">
        <is>
          <t>Grosse Pointe</t>
        </is>
      </c>
      <c r="Q223" s="6" t="inlineStr">
        <is>
          <t>20870 Mack Ave, Grosse Pointe, MI, 48236</t>
        </is>
      </c>
      <c r="R223" s="6" t="inlineStr"/>
      <c r="S223" s="6" t="inlineStr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</row>
    <row r="224">
      <c r="A224" s="6" t="inlineStr">
        <is>
          <t>Henry Ford Macomb Orthopedic Surgery - Washington</t>
        </is>
      </c>
      <c r="B224" s="6" t="inlineStr">
        <is>
          <t>7e174398-087f-41d2-8f79-7c1a94c070e5</t>
        </is>
      </c>
      <c r="C224" s="6" t="inlineStr">
        <is>
          <t>Orthopedic</t>
        </is>
      </c>
      <c r="D224" s="6" t="inlineStr">
        <is>
          <t>Prospect</t>
        </is>
      </c>
      <c r="E224" s="6" t="inlineStr">
        <is>
          <t>Visit / Prospect</t>
        </is>
      </c>
      <c r="F224" s="6" t="n">
        <v>9</v>
      </c>
      <c r="G224" s="6" t="n">
        <v>0</v>
      </c>
      <c r="H224" s="6" t="inlineStr">
        <is>
          <t>0</t>
        </is>
      </c>
      <c r="I224" s="6" t="inlineStr">
        <is>
          <t>0</t>
        </is>
      </c>
      <c r="J224" s="6" t="inlineStr"/>
      <c r="K224" s="6" t="inlineStr">
        <is>
          <t>2025-07-16</t>
        </is>
      </c>
      <c r="L224" s="6" t="inlineStr">
        <is>
          <t>365</t>
        </is>
      </c>
      <c r="M224" s="6" t="n">
        <v/>
      </c>
      <c r="N224" s="6" t="inlineStr">
        <is>
          <t>45</t>
        </is>
      </c>
      <c r="O224" s="6" t="inlineStr">
        <is>
          <t>C-D07</t>
        </is>
      </c>
      <c r="P224" s="6" t="inlineStr">
        <is>
          <t>Washington</t>
        </is>
      </c>
      <c r="Q224" s="6" t="inlineStr">
        <is>
          <t>12150 30 Mile Rd ste 105, Washington, Michigan, 48095</t>
        </is>
      </c>
      <c r="R224" s="6" t="inlineStr"/>
      <c r="S224" s="6" t="inlineStr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</row>
    <row r="225">
      <c r="A225" s="6" t="inlineStr">
        <is>
          <t>Gregory Gould DO</t>
        </is>
      </c>
      <c r="B225" s="6" t="inlineStr">
        <is>
          <t>1bdbcaac-c199-419d-b5a3-2b7eab4315d3</t>
        </is>
      </c>
      <c r="C225" s="6" t="inlineStr">
        <is>
          <t>PCP</t>
        </is>
      </c>
      <c r="D225" s="6" t="inlineStr">
        <is>
          <t>Prospect</t>
        </is>
      </c>
      <c r="E225" s="6" t="inlineStr">
        <is>
          <t>Visit / Prospect</t>
        </is>
      </c>
      <c r="F225" s="6" t="n">
        <v>9</v>
      </c>
      <c r="G225" s="6" t="n">
        <v>0</v>
      </c>
      <c r="H225" s="6" t="inlineStr">
        <is>
          <t>0</t>
        </is>
      </c>
      <c r="I225" s="6" t="inlineStr">
        <is>
          <t>0</t>
        </is>
      </c>
      <c r="J225" s="6" t="inlineStr"/>
      <c r="K225" s="6" t="inlineStr">
        <is>
          <t>2026-05-07</t>
        </is>
      </c>
      <c r="L225" s="6" t="inlineStr">
        <is>
          <t>70</t>
        </is>
      </c>
      <c r="M225" s="6" t="n">
        <v/>
      </c>
      <c r="N225" s="6" t="inlineStr">
        <is>
          <t>45</t>
        </is>
      </c>
      <c r="O225" s="6" t="inlineStr">
        <is>
          <t>C-D07</t>
        </is>
      </c>
      <c r="P225" s="6" t="inlineStr">
        <is>
          <t>Washington</t>
        </is>
      </c>
      <c r="Q225" s="6" t="inlineStr">
        <is>
          <t>60005 Campground Rd suite 600, Washington, Michigan, 48094</t>
        </is>
      </c>
      <c r="R225" s="6" t="inlineStr"/>
      <c r="S225" s="6" t="inlineStr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</row>
    <row r="226">
      <c r="A226" s="6" t="inlineStr">
        <is>
          <t>Alliance Washington Township</t>
        </is>
      </c>
      <c r="B226" s="6" t="inlineStr">
        <is>
          <t>ff103539-b3cc-494b-9fec-e29f5fb4e469</t>
        </is>
      </c>
      <c r="C226" s="6" t="inlineStr">
        <is>
          <t>PCP</t>
        </is>
      </c>
      <c r="D226" s="6" t="inlineStr">
        <is>
          <t>Prospect</t>
        </is>
      </c>
      <c r="E226" s="6" t="inlineStr">
        <is>
          <t>Visit / Prospect</t>
        </is>
      </c>
      <c r="F226" s="6" t="n">
        <v>9</v>
      </c>
      <c r="G226" s="6" t="n">
        <v>0</v>
      </c>
      <c r="H226" s="6" t="inlineStr">
        <is>
          <t>0</t>
        </is>
      </c>
      <c r="I226" s="6" t="inlineStr">
        <is>
          <t>0</t>
        </is>
      </c>
      <c r="J226" s="6" t="inlineStr"/>
      <c r="K226" s="6" t="inlineStr">
        <is>
          <t>2026-05-07</t>
        </is>
      </c>
      <c r="L226" s="6" t="inlineStr">
        <is>
          <t>70</t>
        </is>
      </c>
      <c r="M226" s="6" t="n">
        <v/>
      </c>
      <c r="N226" s="6" t="inlineStr">
        <is>
          <t>45</t>
        </is>
      </c>
      <c r="O226" s="6" t="inlineStr">
        <is>
          <t>C-D07</t>
        </is>
      </c>
      <c r="P226" s="6" t="inlineStr">
        <is>
          <t>Washington</t>
        </is>
      </c>
      <c r="Q226" s="6" t="inlineStr">
        <is>
          <t>58024 Van Dyke, Washington, MI, 48094</t>
        </is>
      </c>
      <c r="R226" s="6" t="inlineStr"/>
      <c r="S226" s="6" t="inlineStr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</row>
    <row r="227">
      <c r="A227" s="6" t="inlineStr">
        <is>
          <t>Partners in Family Medicine</t>
        </is>
      </c>
      <c r="B227" s="6" t="inlineStr">
        <is>
          <t>66604f44-0a10-4e2a-8f1e-c4e00f0fb1dc</t>
        </is>
      </c>
      <c r="C227" s="6" t="inlineStr">
        <is>
          <t>PCP</t>
        </is>
      </c>
      <c r="D227" s="6" t="inlineStr">
        <is>
          <t>Prospect</t>
        </is>
      </c>
      <c r="E227" s="6" t="inlineStr">
        <is>
          <t>Visit / Prospect</t>
        </is>
      </c>
      <c r="F227" s="6" t="n">
        <v>9</v>
      </c>
      <c r="G227" s="6" t="n">
        <v>0</v>
      </c>
      <c r="H227" s="6" t="inlineStr">
        <is>
          <t>0</t>
        </is>
      </c>
      <c r="I227" s="6" t="inlineStr">
        <is>
          <t>0</t>
        </is>
      </c>
      <c r="J227" s="6" t="inlineStr"/>
      <c r="K227" s="6" t="inlineStr">
        <is>
          <t>2026-05-20</t>
        </is>
      </c>
      <c r="L227" s="6" t="inlineStr">
        <is>
          <t>57</t>
        </is>
      </c>
      <c r="M227" s="6" t="n">
        <v/>
      </c>
      <c r="N227" s="6" t="inlineStr">
        <is>
          <t>45</t>
        </is>
      </c>
      <c r="O227" s="6" t="inlineStr">
        <is>
          <t>C-D07</t>
        </is>
      </c>
      <c r="P227" s="6" t="inlineStr">
        <is>
          <t>Shelby Township</t>
        </is>
      </c>
      <c r="Q227" s="6" t="inlineStr">
        <is>
          <t>6000 24 Mile Rd, Shelby Township, Michigan, 48316</t>
        </is>
      </c>
      <c r="R227" s="6" t="inlineStr"/>
      <c r="S227" s="6" t="inlineStr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</row>
    <row r="228">
      <c r="A228" s="6" t="inlineStr">
        <is>
          <t>Blue Water Pain Specialists - Macomb</t>
        </is>
      </c>
      <c r="B228" s="6" t="inlineStr">
        <is>
          <t>da7a2e70-7373-4808-9950-99c98f41d55e</t>
        </is>
      </c>
      <c r="C228" s="6" t="inlineStr">
        <is>
          <t>Orthopedic</t>
        </is>
      </c>
      <c r="D228" s="6" t="inlineStr">
        <is>
          <t>Prospect</t>
        </is>
      </c>
      <c r="E228" s="6" t="inlineStr">
        <is>
          <t>Visit / Prospect</t>
        </is>
      </c>
      <c r="F228" s="6" t="n">
        <v>9</v>
      </c>
      <c r="G228" s="6" t="n">
        <v>0</v>
      </c>
      <c r="H228" s="6" t="inlineStr">
        <is>
          <t>0</t>
        </is>
      </c>
      <c r="I228" s="6" t="inlineStr">
        <is>
          <t>0</t>
        </is>
      </c>
      <c r="J228" s="6" t="inlineStr"/>
      <c r="K228" s="6" t="inlineStr">
        <is>
          <t>2026-07-10</t>
        </is>
      </c>
      <c r="L228" s="6" t="inlineStr">
        <is>
          <t>6</t>
        </is>
      </c>
      <c r="M228" s="6" t="n">
        <v/>
      </c>
      <c r="N228" s="6" t="inlineStr">
        <is>
          <t>45</t>
        </is>
      </c>
      <c r="O228" s="6" t="inlineStr">
        <is>
          <t>C-D08</t>
        </is>
      </c>
      <c r="P228" s="6" t="inlineStr">
        <is>
          <t>Macomb</t>
        </is>
      </c>
      <c r="Q228" s="6" t="inlineStr">
        <is>
          <t>46591 Romeo Plank Rd ste 137, Macomb, Michigan, 48044</t>
        </is>
      </c>
      <c r="R228" s="6" t="inlineStr"/>
      <c r="S228" s="6" t="inlineStr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</row>
    <row r="229">
      <c r="A229" s="6" t="inlineStr">
        <is>
          <t>Woods Cardiovascular Internal Medicine Associates - Macomb</t>
        </is>
      </c>
      <c r="B229" s="6" t="inlineStr">
        <is>
          <t>1396736724</t>
        </is>
      </c>
      <c r="C229" s="6" t="inlineStr">
        <is>
          <t>PCP</t>
        </is>
      </c>
      <c r="D229" s="6" t="inlineStr">
        <is>
          <t>Prospect</t>
        </is>
      </c>
      <c r="E229" s="6" t="inlineStr">
        <is>
          <t>Visit / Prospect</t>
        </is>
      </c>
      <c r="F229" s="6" t="n">
        <v>9</v>
      </c>
      <c r="G229" s="6" t="n">
        <v>0</v>
      </c>
      <c r="H229" s="6" t="inlineStr">
        <is>
          <t>0</t>
        </is>
      </c>
      <c r="I229" s="6" t="inlineStr">
        <is>
          <t>0</t>
        </is>
      </c>
      <c r="J229" s="6" t="inlineStr"/>
      <c r="K229" s="6" t="inlineStr">
        <is>
          <t>2026-05-20</t>
        </is>
      </c>
      <c r="L229" s="6" t="inlineStr">
        <is>
          <t>57</t>
        </is>
      </c>
      <c r="M229" s="6" t="n">
        <v/>
      </c>
      <c r="N229" s="6" t="inlineStr">
        <is>
          <t>45</t>
        </is>
      </c>
      <c r="O229" s="6" t="inlineStr">
        <is>
          <t>C-D08</t>
        </is>
      </c>
      <c r="P229" s="6" t="inlineStr">
        <is>
          <t>Macomb</t>
        </is>
      </c>
      <c r="Q229" s="6" t="inlineStr">
        <is>
          <t>15959 Hall Road, ste 204, Macomb, MI, 48044</t>
        </is>
      </c>
      <c r="R229" s="6" t="inlineStr"/>
      <c r="S229" s="6" t="inlineStr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</row>
    <row r="230">
      <c r="A230" s="6" t="inlineStr">
        <is>
          <t>Cheryl Lerchin MD Physical Medicine &amp; Rehabilitation</t>
        </is>
      </c>
      <c r="B230" s="6" t="inlineStr">
        <is>
          <t>fa76c755-e677-4007-b491-b3f43d925c89</t>
        </is>
      </c>
      <c r="C230" s="6" t="inlineStr">
        <is>
          <t>Pain</t>
        </is>
      </c>
      <c r="D230" s="6" t="inlineStr">
        <is>
          <t>Prospect</t>
        </is>
      </c>
      <c r="E230" s="6" t="inlineStr">
        <is>
          <t>Visit / Prospect</t>
        </is>
      </c>
      <c r="F230" s="6" t="n">
        <v>9</v>
      </c>
      <c r="G230" s="6" t="n">
        <v>0</v>
      </c>
      <c r="H230" s="6" t="inlineStr">
        <is>
          <t>0</t>
        </is>
      </c>
      <c r="I230" s="6" t="inlineStr">
        <is>
          <t>0</t>
        </is>
      </c>
      <c r="J230" s="6" t="inlineStr"/>
      <c r="K230" s="6" t="inlineStr">
        <is>
          <t>2026-06-12</t>
        </is>
      </c>
      <c r="L230" s="6" t="inlineStr">
        <is>
          <t>34</t>
        </is>
      </c>
      <c r="M230" s="6" t="n">
        <v/>
      </c>
      <c r="N230" s="6" t="inlineStr">
        <is>
          <t>45</t>
        </is>
      </c>
      <c r="O230" s="6" t="inlineStr">
        <is>
          <t>C-D08</t>
        </is>
      </c>
      <c r="P230" s="6" t="inlineStr">
        <is>
          <t>Shelby Township</t>
        </is>
      </c>
      <c r="Q230" s="6" t="inlineStr">
        <is>
          <t>45710 Schoenherr Rd, Shelby Township, Michigan, 48315</t>
        </is>
      </c>
      <c r="R230" s="6" t="inlineStr"/>
      <c r="S230" s="6" t="inlineStr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</row>
    <row r="231">
      <c r="A231" s="6" t="inlineStr">
        <is>
          <t>IHA Hand Surgery - Brighton</t>
        </is>
      </c>
      <c r="B231" s="6" t="inlineStr">
        <is>
          <t>aaaaf0e6-b931-49ae-be22-319368bfc366</t>
        </is>
      </c>
      <c r="C231" s="6" t="inlineStr">
        <is>
          <t>Orthopedic</t>
        </is>
      </c>
      <c r="D231" s="6" t="inlineStr">
        <is>
          <t>Prospect</t>
        </is>
      </c>
      <c r="E231" s="6" t="inlineStr">
        <is>
          <t>Visit / Prospect</t>
        </is>
      </c>
      <c r="F231" s="6" t="n">
        <v>9</v>
      </c>
      <c r="G231" s="6" t="n">
        <v>0</v>
      </c>
      <c r="H231" s="6" t="inlineStr">
        <is>
          <t>0</t>
        </is>
      </c>
      <c r="I231" s="6" t="inlineStr">
        <is>
          <t>0</t>
        </is>
      </c>
      <c r="J231" s="6" t="inlineStr"/>
      <c r="K231" s="6" t="inlineStr">
        <is>
          <t>2025-05-02</t>
        </is>
      </c>
      <c r="L231" s="6" t="inlineStr">
        <is>
          <t>440</t>
        </is>
      </c>
      <c r="M231" s="6" t="n">
        <v/>
      </c>
      <c r="N231" s="6" t="inlineStr">
        <is>
          <t>45</t>
        </is>
      </c>
      <c r="O231" s="6" t="inlineStr">
        <is>
          <t>C-D09</t>
        </is>
      </c>
      <c r="P231" s="6" t="inlineStr">
        <is>
          <t>BRIGHTON</t>
        </is>
      </c>
      <c r="Q231" s="6" t="inlineStr">
        <is>
          <t>2305 GENOA BUSINESS PARK DR STE 120, BRIGHTON, MI, 48114</t>
        </is>
      </c>
      <c r="R231" s="6" t="inlineStr"/>
      <c r="S231" s="6" t="inlineStr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</row>
    <row r="232">
      <c r="A232" s="6" t="inlineStr">
        <is>
          <t>Trinity IHA Orthopedics - Brighton,</t>
        </is>
      </c>
      <c r="B232" s="6" t="inlineStr">
        <is>
          <t>00-521-8262</t>
        </is>
      </c>
      <c r="C232" s="6" t="inlineStr">
        <is>
          <t>Orthopedic</t>
        </is>
      </c>
      <c r="D232" s="6" t="inlineStr">
        <is>
          <t>Prospect</t>
        </is>
      </c>
      <c r="E232" s="6" t="inlineStr">
        <is>
          <t>Visit / Prospect</t>
        </is>
      </c>
      <c r="F232" s="6" t="n">
        <v>9</v>
      </c>
      <c r="G232" s="6" t="n">
        <v>0</v>
      </c>
      <c r="H232" s="6" t="inlineStr">
        <is>
          <t>0</t>
        </is>
      </c>
      <c r="I232" s="6" t="inlineStr">
        <is>
          <t>0</t>
        </is>
      </c>
      <c r="J232" s="6" t="inlineStr"/>
      <c r="K232" s="6" t="inlineStr">
        <is>
          <t>2025-05-02</t>
        </is>
      </c>
      <c r="L232" s="6" t="inlineStr">
        <is>
          <t>440</t>
        </is>
      </c>
      <c r="M232" s="6" t="n">
        <v/>
      </c>
      <c r="N232" s="6" t="inlineStr">
        <is>
          <t>45</t>
        </is>
      </c>
      <c r="O232" s="6" t="inlineStr">
        <is>
          <t>C-D09</t>
        </is>
      </c>
      <c r="P232" s="6" t="inlineStr">
        <is>
          <t>Brighton</t>
        </is>
      </c>
      <c r="Q232" s="6" t="inlineStr">
        <is>
          <t>2305 Genoa Business Pk Dr, ste 120, Brighton, MI, 48114-7004</t>
        </is>
      </c>
      <c r="R232" s="6" t="inlineStr"/>
      <c r="S232" s="6" t="inlineStr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</row>
    <row r="233">
      <c r="A233" s="6" t="inlineStr">
        <is>
          <t>Core Institute - Brighton</t>
        </is>
      </c>
      <c r="B233" s="6" t="inlineStr">
        <is>
          <t>e306805a-712e-4203-9077-c434875349fc</t>
        </is>
      </c>
      <c r="C233" s="6" t="inlineStr">
        <is>
          <t>Orthopedic</t>
        </is>
      </c>
      <c r="D233" s="6" t="inlineStr">
        <is>
          <t>Prospect</t>
        </is>
      </c>
      <c r="E233" s="6" t="inlineStr">
        <is>
          <t>Visit / Prospect</t>
        </is>
      </c>
      <c r="F233" s="6" t="n">
        <v>9</v>
      </c>
      <c r="G233" s="6" t="n">
        <v>0</v>
      </c>
      <c r="H233" s="6" t="inlineStr">
        <is>
          <t>0</t>
        </is>
      </c>
      <c r="I233" s="6" t="inlineStr">
        <is>
          <t>0</t>
        </is>
      </c>
      <c r="J233" s="6" t="inlineStr"/>
      <c r="K233" s="6" t="inlineStr">
        <is>
          <t>2026-04-14</t>
        </is>
      </c>
      <c r="L233" s="6" t="inlineStr">
        <is>
          <t>93</t>
        </is>
      </c>
      <c r="M233" s="6" t="n">
        <v/>
      </c>
      <c r="N233" s="6" t="inlineStr">
        <is>
          <t>45</t>
        </is>
      </c>
      <c r="O233" s="6" t="inlineStr">
        <is>
          <t>C-D09</t>
        </is>
      </c>
      <c r="P233" s="6" t="inlineStr">
        <is>
          <t>Brighton</t>
        </is>
      </c>
      <c r="Q233" s="6" t="inlineStr">
        <is>
          <t>8273 Grand River Ave ste 210, Brighton, Michigan, 48114</t>
        </is>
      </c>
      <c r="R233" s="6" t="inlineStr"/>
      <c r="S233" s="6" t="inlineStr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</row>
    <row r="234">
      <c r="A234" s="6" t="inlineStr">
        <is>
          <t>Restorative Physical Medicine - Brighton</t>
        </is>
      </c>
      <c r="B234" s="6" t="inlineStr">
        <is>
          <t>664225f4-387f-4458-bce4-0fe6ff18f13e</t>
        </is>
      </c>
      <c r="C234" s="6" t="inlineStr">
        <is>
          <t>Orthopedic</t>
        </is>
      </c>
      <c r="D234" s="6" t="inlineStr">
        <is>
          <t>Prospect</t>
        </is>
      </c>
      <c r="E234" s="6" t="inlineStr">
        <is>
          <t>Visit / Prospect</t>
        </is>
      </c>
      <c r="F234" s="6" t="n">
        <v>9</v>
      </c>
      <c r="G234" s="6" t="n">
        <v>0</v>
      </c>
      <c r="H234" s="6" t="inlineStr">
        <is>
          <t>0</t>
        </is>
      </c>
      <c r="I234" s="6" t="inlineStr">
        <is>
          <t>0</t>
        </is>
      </c>
      <c r="J234" s="6" t="inlineStr"/>
      <c r="K234" s="6" t="inlineStr">
        <is>
          <t>2025-10-17</t>
        </is>
      </c>
      <c r="L234" s="6" t="inlineStr">
        <is>
          <t>272</t>
        </is>
      </c>
      <c r="M234" s="6" t="n">
        <v/>
      </c>
      <c r="N234" s="6" t="inlineStr">
        <is>
          <t>45</t>
        </is>
      </c>
      <c r="O234" s="6" t="inlineStr">
        <is>
          <t>C-D09</t>
        </is>
      </c>
      <c r="P234" s="6" t="inlineStr">
        <is>
          <t>Brighton</t>
        </is>
      </c>
      <c r="Q234" s="6" t="inlineStr">
        <is>
          <t>8273 Grand River Ave ste 220, Brighton, Michigan, 48114</t>
        </is>
      </c>
      <c r="R234" s="6" t="inlineStr"/>
      <c r="S234" s="6" t="inlineStr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</row>
    <row r="235">
      <c r="A235" s="6" t="inlineStr">
        <is>
          <t>Lederman Kwartowitz - Brighton</t>
        </is>
      </c>
      <c r="B235" s="6" t="inlineStr">
        <is>
          <t>50a5e17a-f92c-45cc-8842-9b90f70cf283</t>
        </is>
      </c>
      <c r="C235" s="6" t="inlineStr">
        <is>
          <t>Orthopedic</t>
        </is>
      </c>
      <c r="D235" s="6" t="inlineStr">
        <is>
          <t>Prospect</t>
        </is>
      </c>
      <c r="E235" s="6" t="inlineStr">
        <is>
          <t>Visit / Prospect</t>
        </is>
      </c>
      <c r="F235" s="6" t="n">
        <v>9</v>
      </c>
      <c r="G235" s="6" t="n">
        <v>0</v>
      </c>
      <c r="H235" s="6" t="inlineStr">
        <is>
          <t>0</t>
        </is>
      </c>
      <c r="I235" s="6" t="inlineStr">
        <is>
          <t>0</t>
        </is>
      </c>
      <c r="J235" s="6" t="inlineStr"/>
      <c r="K235" s="6" t="inlineStr">
        <is>
          <t>2026-02-11</t>
        </is>
      </c>
      <c r="L235" s="6" t="inlineStr">
        <is>
          <t>155</t>
        </is>
      </c>
      <c r="M235" s="6" t="n">
        <v/>
      </c>
      <c r="N235" s="6" t="inlineStr">
        <is>
          <t>45</t>
        </is>
      </c>
      <c r="O235" s="6" t="inlineStr">
        <is>
          <t>C-D09</t>
        </is>
      </c>
      <c r="P235" s="6" t="inlineStr">
        <is>
          <t>Brighton</t>
        </is>
      </c>
      <c r="Q235" s="6" t="inlineStr">
        <is>
          <t>8550 W Grand River Ave ste 100, Brighton, Michigan, 48116</t>
        </is>
      </c>
      <c r="R235" s="6" t="inlineStr"/>
      <c r="S235" s="6" t="inlineStr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</row>
    <row r="236">
      <c r="A236" s="6" t="inlineStr">
        <is>
          <t>Enhance Center - Livonia</t>
        </is>
      </c>
      <c r="B236" s="6" t="inlineStr">
        <is>
          <t>10-607-8064</t>
        </is>
      </c>
      <c r="C236" s="6" t="inlineStr">
        <is>
          <t>Orthopedic</t>
        </is>
      </c>
      <c r="D236" s="6" t="inlineStr">
        <is>
          <t>Prospect</t>
        </is>
      </c>
      <c r="E236" s="6" t="inlineStr">
        <is>
          <t>Visit / Prospect</t>
        </is>
      </c>
      <c r="F236" s="6" t="n">
        <v>9</v>
      </c>
      <c r="G236" s="6" t="n">
        <v>0</v>
      </c>
      <c r="H236" s="6" t="inlineStr">
        <is>
          <t>0</t>
        </is>
      </c>
      <c r="I236" s="6" t="inlineStr">
        <is>
          <t>0</t>
        </is>
      </c>
      <c r="J236" s="6" t="inlineStr"/>
      <c r="K236" s="6" t="inlineStr">
        <is>
          <t>2025-03-17</t>
        </is>
      </c>
      <c r="L236" s="6" t="inlineStr">
        <is>
          <t>486</t>
        </is>
      </c>
      <c r="M236" s="6" t="n">
        <v/>
      </c>
      <c r="N236" s="6" t="inlineStr">
        <is>
          <t>45</t>
        </is>
      </c>
      <c r="O236" s="6" t="inlineStr">
        <is>
          <t>C-D10</t>
        </is>
      </c>
      <c r="P236" s="6" t="inlineStr">
        <is>
          <t>Livonia</t>
        </is>
      </c>
      <c r="Q236" s="6" t="inlineStr">
        <is>
          <t>34020 7 Mile Rd Ste 101, Livonia, MI, 48152-3093</t>
        </is>
      </c>
      <c r="R236" s="6" t="inlineStr"/>
      <c r="S236" s="6" t="inlineStr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</row>
    <row r="237">
      <c r="A237" s="6" t="inlineStr">
        <is>
          <t>George Afram MD,</t>
        </is>
      </c>
      <c r="B237" s="6" t="inlineStr">
        <is>
          <t>1356499800</t>
        </is>
      </c>
      <c r="C237" s="6" t="inlineStr">
        <is>
          <t>PCP</t>
        </is>
      </c>
      <c r="D237" s="6" t="inlineStr">
        <is>
          <t>Prospect</t>
        </is>
      </c>
      <c r="E237" s="6" t="inlineStr">
        <is>
          <t>Visit / Prospect</t>
        </is>
      </c>
      <c r="F237" s="6" t="n">
        <v>9</v>
      </c>
      <c r="G237" s="6" t="n">
        <v>0</v>
      </c>
      <c r="H237" s="6" t="inlineStr">
        <is>
          <t>0</t>
        </is>
      </c>
      <c r="I237" s="6" t="inlineStr">
        <is>
          <t>0</t>
        </is>
      </c>
      <c r="J237" s="6" t="inlineStr"/>
      <c r="K237" s="6" t="inlineStr">
        <is>
          <t>2026-06-04</t>
        </is>
      </c>
      <c r="L237" s="6" t="inlineStr">
        <is>
          <t>42</t>
        </is>
      </c>
      <c r="M237" s="6" t="n">
        <v/>
      </c>
      <c r="N237" s="6" t="inlineStr">
        <is>
          <t>45</t>
        </is>
      </c>
      <c r="O237" s="6" t="inlineStr">
        <is>
          <t>C-D11</t>
        </is>
      </c>
      <c r="P237" s="6" t="inlineStr">
        <is>
          <t>St. Clair Shores</t>
        </is>
      </c>
      <c r="Q237" s="6" t="inlineStr">
        <is>
          <t>29275 Harper, St. Clair Shores, Michigan, 48081</t>
        </is>
      </c>
      <c r="R237" s="6" t="inlineStr"/>
      <c r="S237" s="6" t="inlineStr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</row>
    <row r="238">
      <c r="A238" s="6" t="inlineStr">
        <is>
          <t>Blue Water Pain Specialists - St Clair Shores</t>
        </is>
      </c>
      <c r="B238" s="6" t="inlineStr">
        <is>
          <t>80d59d4a-83b2-4eff-a6a5-58214e7bf1ba</t>
        </is>
      </c>
      <c r="C238" s="6" t="inlineStr">
        <is>
          <t>Pain</t>
        </is>
      </c>
      <c r="D238" s="6" t="inlineStr">
        <is>
          <t>Prospect</t>
        </is>
      </c>
      <c r="E238" s="6" t="inlineStr">
        <is>
          <t>Visit / Prospect</t>
        </is>
      </c>
      <c r="F238" s="6" t="n">
        <v>9</v>
      </c>
      <c r="G238" s="6" t="n">
        <v>0</v>
      </c>
      <c r="H238" s="6" t="inlineStr">
        <is>
          <t>0</t>
        </is>
      </c>
      <c r="I238" s="6" t="inlineStr">
        <is>
          <t>0</t>
        </is>
      </c>
      <c r="J238" s="6" t="inlineStr"/>
      <c r="K238" s="6" t="inlineStr">
        <is>
          <t>2026-02-20</t>
        </is>
      </c>
      <c r="L238" s="6" t="inlineStr">
        <is>
          <t>146</t>
        </is>
      </c>
      <c r="M238" s="6" t="n">
        <v/>
      </c>
      <c r="N238" s="6" t="inlineStr">
        <is>
          <t>45</t>
        </is>
      </c>
      <c r="O238" s="6" t="inlineStr">
        <is>
          <t>C-D11</t>
        </is>
      </c>
      <c r="P238" s="6" t="inlineStr">
        <is>
          <t>St. Clair Shores</t>
        </is>
      </c>
      <c r="Q238" s="6" t="inlineStr">
        <is>
          <t>21000 Twelve Mile Road, ste 100, St. Clair Shores, Michigan, 48081</t>
        </is>
      </c>
      <c r="R238" s="6" t="inlineStr"/>
      <c r="S238" s="6" t="inlineStr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</row>
    <row r="239">
      <c r="A239" s="6" t="inlineStr">
        <is>
          <t>Arora Hand Surgery - Warren</t>
        </is>
      </c>
      <c r="B239" s="6" t="inlineStr">
        <is>
          <t>96920148-57be-4764-88fe-0131ee3733e7</t>
        </is>
      </c>
      <c r="C239" s="6" t="inlineStr">
        <is>
          <t>Orthopedic</t>
        </is>
      </c>
      <c r="D239" s="6" t="inlineStr">
        <is>
          <t>Prospect</t>
        </is>
      </c>
      <c r="E239" s="6" t="inlineStr">
        <is>
          <t>Visit / Prospect</t>
        </is>
      </c>
      <c r="F239" s="6" t="n">
        <v>9</v>
      </c>
      <c r="G239" s="6" t="n">
        <v>0</v>
      </c>
      <c r="H239" s="6" t="inlineStr">
        <is>
          <t>0</t>
        </is>
      </c>
      <c r="I239" s="6" t="inlineStr">
        <is>
          <t>0</t>
        </is>
      </c>
      <c r="J239" s="6" t="inlineStr"/>
      <c r="K239" s="6" t="inlineStr">
        <is>
          <t>2025-03-06</t>
        </is>
      </c>
      <c r="L239" s="6" t="inlineStr">
        <is>
          <t>497</t>
        </is>
      </c>
      <c r="M239" s="6" t="n">
        <v/>
      </c>
      <c r="N239" s="6" t="inlineStr">
        <is>
          <t>45</t>
        </is>
      </c>
      <c r="O239" s="6" t="inlineStr">
        <is>
          <t>C-D11</t>
        </is>
      </c>
      <c r="P239" s="6" t="inlineStr">
        <is>
          <t>Warren</t>
        </is>
      </c>
      <c r="Q239" s="6" t="inlineStr">
        <is>
          <t>28295 Schoenherr Rd ste b, Warren, Michigan, 48088</t>
        </is>
      </c>
      <c r="R239" s="6" t="inlineStr"/>
      <c r="S239" s="6" t="inlineStr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</row>
    <row r="240">
      <c r="A240" s="6" t="inlineStr">
        <is>
          <t>Center For Physical Medicine &amp; Rehabilitation - Warren</t>
        </is>
      </c>
      <c r="B240" s="6" t="inlineStr">
        <is>
          <t>18-488-0404</t>
        </is>
      </c>
      <c r="C240" s="6" t="inlineStr">
        <is>
          <t>Orthopedic</t>
        </is>
      </c>
      <c r="D240" s="6" t="inlineStr">
        <is>
          <t>Prospect</t>
        </is>
      </c>
      <c r="E240" s="6" t="inlineStr">
        <is>
          <t>Visit / Prospect</t>
        </is>
      </c>
      <c r="F240" s="6" t="n">
        <v>9</v>
      </c>
      <c r="G240" s="6" t="n">
        <v>0</v>
      </c>
      <c r="H240" s="6" t="inlineStr">
        <is>
          <t>0</t>
        </is>
      </c>
      <c r="I240" s="6" t="inlineStr">
        <is>
          <t>0</t>
        </is>
      </c>
      <c r="J240" s="6" t="inlineStr"/>
      <c r="K240" s="6" t="inlineStr">
        <is>
          <t>2025-05-22</t>
        </is>
      </c>
      <c r="L240" s="6" t="inlineStr">
        <is>
          <t>420</t>
        </is>
      </c>
      <c r="M240" s="6" t="n">
        <v/>
      </c>
      <c r="N240" s="6" t="inlineStr">
        <is>
          <t>45</t>
        </is>
      </c>
      <c r="O240" s="6" t="inlineStr">
        <is>
          <t>C-D11</t>
        </is>
      </c>
      <c r="P240" s="6" t="inlineStr">
        <is>
          <t>Warren</t>
        </is>
      </c>
      <c r="Q240" s="6" t="inlineStr">
        <is>
          <t>13850 E 12 Mile Rd, Warren, MI, 48088-3730</t>
        </is>
      </c>
      <c r="R240" s="6" t="inlineStr"/>
      <c r="S240" s="6" t="inlineStr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</row>
    <row r="241">
      <c r="A241" s="6" t="inlineStr">
        <is>
          <t>MICHIGAN PAIN SPECIALISTS, PLLC</t>
        </is>
      </c>
      <c r="B241" s="6" t="inlineStr">
        <is>
          <t>87bd0432-534b-4e48-b128-48f49cc39a94</t>
        </is>
      </c>
      <c r="C241" s="6" t="inlineStr">
        <is>
          <t>Orthopedic</t>
        </is>
      </c>
      <c r="D241" s="6" t="inlineStr">
        <is>
          <t>Prospect</t>
        </is>
      </c>
      <c r="E241" s="6" t="inlineStr">
        <is>
          <t>Visit / Prospect</t>
        </is>
      </c>
      <c r="F241" s="6" t="n">
        <v>9</v>
      </c>
      <c r="G241" s="6" t="n">
        <v>0</v>
      </c>
      <c r="H241" s="6" t="inlineStr">
        <is>
          <t>0</t>
        </is>
      </c>
      <c r="I241" s="6" t="inlineStr">
        <is>
          <t>0</t>
        </is>
      </c>
      <c r="J241" s="6" t="inlineStr"/>
      <c r="K241" s="6" t="inlineStr">
        <is>
          <t>2025-09-22</t>
        </is>
      </c>
      <c r="L241" s="6" t="inlineStr">
        <is>
          <t>297</t>
        </is>
      </c>
      <c r="M241" s="6" t="n">
        <v/>
      </c>
      <c r="N241" s="6" t="inlineStr">
        <is>
          <t>45</t>
        </is>
      </c>
      <c r="O241" s="6" t="inlineStr">
        <is>
          <t>C-D12</t>
        </is>
      </c>
      <c r="P241" s="6" t="inlineStr">
        <is>
          <t>YPSILANTI</t>
        </is>
      </c>
      <c r="Q241" s="6" t="inlineStr">
        <is>
          <t>135 S PROSPECT ST, YPSILANTI, Michigan, MI 48198</t>
        </is>
      </c>
      <c r="R241" s="6" t="inlineStr"/>
      <c r="S241" s="6" t="inlineStr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</row>
    <row r="242">
      <c r="A242" s="6" t="inlineStr">
        <is>
          <t>Michigan Pain Specialists</t>
        </is>
      </c>
      <c r="B242" s="6" t="inlineStr">
        <is>
          <t>943e0e00-82f1-4d88-a3fd-2275bdc153b6</t>
        </is>
      </c>
      <c r="C242" s="6" t="inlineStr">
        <is>
          <t>Pain</t>
        </is>
      </c>
      <c r="D242" s="6" t="inlineStr">
        <is>
          <t>Prospect</t>
        </is>
      </c>
      <c r="E242" s="6" t="inlineStr">
        <is>
          <t>Visit / Prospect</t>
        </is>
      </c>
      <c r="F242" s="6" t="n">
        <v>9</v>
      </c>
      <c r="G242" s="6" t="n">
        <v>0</v>
      </c>
      <c r="H242" s="6" t="inlineStr">
        <is>
          <t>0</t>
        </is>
      </c>
      <c r="I242" s="6" t="inlineStr">
        <is>
          <t>0</t>
        </is>
      </c>
      <c r="J242" s="6" t="inlineStr"/>
      <c r="K242" s="6" t="inlineStr">
        <is>
          <t>2023-04-03</t>
        </is>
      </c>
      <c r="L242" s="6" t="inlineStr">
        <is>
          <t>1200</t>
        </is>
      </c>
      <c r="M242" s="6" t="n">
        <v/>
      </c>
      <c r="N242" s="6" t="inlineStr">
        <is>
          <t>45</t>
        </is>
      </c>
      <c r="O242" s="6" t="inlineStr">
        <is>
          <t>C-D12</t>
        </is>
      </c>
      <c r="P242" s="6" t="inlineStr">
        <is>
          <t>Ypsilanti</t>
        </is>
      </c>
      <c r="Q242" s="6" t="inlineStr">
        <is>
          <t>135 South Prospect Street, Ypsilanti, Michigan, 48198</t>
        </is>
      </c>
      <c r="R242" s="6" t="inlineStr"/>
      <c r="S242" s="6" t="inlineStr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</row>
    <row r="243">
      <c r="A243" s="6" t="inlineStr">
        <is>
          <t>Associates In Physical Medicine &amp; Rehabilitation</t>
        </is>
      </c>
      <c r="B243" s="6" t="inlineStr">
        <is>
          <t>0cb7fa62-086e-4ade-98e1-7e6fd0b8c26c</t>
        </is>
      </c>
      <c r="C243" s="6" t="inlineStr">
        <is>
          <t>Orthopedic</t>
        </is>
      </c>
      <c r="D243" s="6" t="inlineStr">
        <is>
          <t>Prospect</t>
        </is>
      </c>
      <c r="E243" s="6" t="inlineStr">
        <is>
          <t>Visit / Prospect</t>
        </is>
      </c>
      <c r="F243" s="6" t="n">
        <v>9</v>
      </c>
      <c r="G243" s="6" t="n">
        <v>0</v>
      </c>
      <c r="H243" s="6" t="inlineStr">
        <is>
          <t>0</t>
        </is>
      </c>
      <c r="I243" s="6" t="inlineStr">
        <is>
          <t>0</t>
        </is>
      </c>
      <c r="J243" s="6" t="inlineStr"/>
      <c r="K243" s="6" t="inlineStr">
        <is>
          <t>2024-01-02</t>
        </is>
      </c>
      <c r="L243" s="6" t="inlineStr">
        <is>
          <t>926</t>
        </is>
      </c>
      <c r="M243" s="6" t="n">
        <v/>
      </c>
      <c r="N243" s="6" t="inlineStr">
        <is>
          <t>45</t>
        </is>
      </c>
      <c r="O243" s="6" t="inlineStr">
        <is>
          <t>C-D12</t>
        </is>
      </c>
      <c r="P243" s="6" t="inlineStr">
        <is>
          <t>Ypsilanti</t>
        </is>
      </c>
      <c r="Q243" s="6" t="inlineStr">
        <is>
          <t>5333 McAuley Dr ste 2009, Ypsilanti, Michigan, 48197</t>
        </is>
      </c>
      <c r="R243" s="6" t="inlineStr"/>
      <c r="S243" s="6" t="inlineStr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</row>
    <row r="244">
      <c r="A244" s="6" t="inlineStr">
        <is>
          <t>UofM Northville Health Center</t>
        </is>
      </c>
      <c r="B244" s="6" t="inlineStr">
        <is>
          <t>1fcb9ed3-4f7b-4998-b644-3c8f0d4fefba</t>
        </is>
      </c>
      <c r="C244" s="6" t="inlineStr">
        <is>
          <t>PCP</t>
        </is>
      </c>
      <c r="D244" s="6" t="inlineStr">
        <is>
          <t>Prospect</t>
        </is>
      </c>
      <c r="E244" s="6" t="inlineStr">
        <is>
          <t>Visit / Prospect</t>
        </is>
      </c>
      <c r="F244" s="6" t="n">
        <v>9</v>
      </c>
      <c r="G244" s="6" t="n">
        <v>0</v>
      </c>
      <c r="H244" s="6" t="inlineStr">
        <is>
          <t>0</t>
        </is>
      </c>
      <c r="I244" s="6" t="inlineStr">
        <is>
          <t>0</t>
        </is>
      </c>
      <c r="J244" s="6" t="inlineStr"/>
      <c r="K244" s="6" t="inlineStr">
        <is>
          <t>2026-06-22</t>
        </is>
      </c>
      <c r="L244" s="6" t="inlineStr">
        <is>
          <t>24</t>
        </is>
      </c>
      <c r="M244" s="6" t="n">
        <v/>
      </c>
      <c r="N244" s="6" t="inlineStr">
        <is>
          <t>45</t>
        </is>
      </c>
      <c r="O244" s="6" t="inlineStr">
        <is>
          <t>C-D12</t>
        </is>
      </c>
      <c r="P244" s="6" t="inlineStr">
        <is>
          <t>Northville</t>
        </is>
      </c>
      <c r="Q244" s="6" t="inlineStr">
        <is>
          <t>39901 Traditions Drive, Northville, Michigan, 48168</t>
        </is>
      </c>
      <c r="R244" s="6" t="inlineStr"/>
      <c r="S244" s="6" t="inlineStr">
        <is>
          <t>Medicaid-likely — verify payer</t>
        </is>
      </c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</row>
    <row r="245">
      <c r="A245" s="6" t="inlineStr">
        <is>
          <t>MDWELL -CO</t>
        </is>
      </c>
      <c r="B245" s="6" t="inlineStr">
        <is>
          <t>3358a741-9736-494f-b1fd-4bc0dbb4de9d</t>
        </is>
      </c>
      <c r="C245" s="6" t="inlineStr">
        <is>
          <t>PCP</t>
        </is>
      </c>
      <c r="D245" s="6" t="inlineStr">
        <is>
          <t>Prospect</t>
        </is>
      </c>
      <c r="E245" s="6" t="inlineStr">
        <is>
          <t>Visit / Prospect</t>
        </is>
      </c>
      <c r="F245" s="6" t="n">
        <v>9</v>
      </c>
      <c r="G245" s="6" t="n">
        <v>0</v>
      </c>
      <c r="H245" s="6" t="inlineStr">
        <is>
          <t>0</t>
        </is>
      </c>
      <c r="I245" s="6" t="inlineStr">
        <is>
          <t>0</t>
        </is>
      </c>
      <c r="J245" s="6" t="inlineStr"/>
      <c r="K245" s="6" t="inlineStr">
        <is>
          <t>2026-05-29</t>
        </is>
      </c>
      <c r="L245" s="6" t="inlineStr">
        <is>
          <t>48</t>
        </is>
      </c>
      <c r="M245" s="6" t="n">
        <v/>
      </c>
      <c r="N245" s="6" t="inlineStr">
        <is>
          <t>45</t>
        </is>
      </c>
      <c r="O245" s="6" t="inlineStr">
        <is>
          <t>C-D12</t>
        </is>
      </c>
      <c r="P245" s="6" t="inlineStr">
        <is>
          <t>Westland</t>
        </is>
      </c>
      <c r="Q245" s="6" t="inlineStr">
        <is>
          <t>33611 Warren Road, Westland, Michigan, 48185</t>
        </is>
      </c>
      <c r="R245" s="6" t="inlineStr"/>
      <c r="S245" s="6" t="inlineStr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</row>
    <row r="246">
      <c r="A246" s="6" t="inlineStr">
        <is>
          <t>MSU SportsMEDICINE</t>
        </is>
      </c>
      <c r="B246" s="6" t="inlineStr">
        <is>
          <t>844e3cfa-90dd-4405-b93e-8ec8a51a6b23</t>
        </is>
      </c>
      <c r="C246" s="6" t="inlineStr">
        <is>
          <t>Orthopedic</t>
        </is>
      </c>
      <c r="D246" s="6" t="inlineStr">
        <is>
          <t>Prospect</t>
        </is>
      </c>
      <c r="E246" s="6" t="inlineStr">
        <is>
          <t>Visit / Prospect</t>
        </is>
      </c>
      <c r="F246" s="6" t="n">
        <v>9</v>
      </c>
      <c r="G246" s="6" t="n">
        <v>0</v>
      </c>
      <c r="H246" s="6" t="inlineStr">
        <is>
          <t>0</t>
        </is>
      </c>
      <c r="I246" s="6" t="inlineStr">
        <is>
          <t>0</t>
        </is>
      </c>
      <c r="J246" s="6" t="inlineStr"/>
      <c r="K246" s="6" t="inlineStr">
        <is>
          <t>2024-10-29</t>
        </is>
      </c>
      <c r="L246" s="6" t="inlineStr">
        <is>
          <t>625</t>
        </is>
      </c>
      <c r="M246" s="6" t="n">
        <v/>
      </c>
      <c r="N246" s="6" t="inlineStr">
        <is>
          <t>45</t>
        </is>
      </c>
      <c r="O246" s="6" t="inlineStr">
        <is>
          <t>C-D13</t>
        </is>
      </c>
      <c r="P246" s="6" t="inlineStr">
        <is>
          <t>East Lansing</t>
        </is>
      </c>
      <c r="Q246" s="6" t="inlineStr">
        <is>
          <t>4660 Hagadorn Rd, East Lansing, Michigan, 48823</t>
        </is>
      </c>
      <c r="R246" s="6" t="inlineStr"/>
      <c r="S246" s="6" t="inlineStr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</row>
    <row r="247">
      <c r="A247" s="6" t="inlineStr">
        <is>
          <t>Kathleen Knapp DO</t>
        </is>
      </c>
      <c r="B247" s="6" t="inlineStr">
        <is>
          <t>3d34eacd-6be7-4b51-b56f-b3b6602651c6</t>
        </is>
      </c>
      <c r="C247" s="6" t="inlineStr">
        <is>
          <t>Orthopedic</t>
        </is>
      </c>
      <c r="D247" s="6" t="inlineStr">
        <is>
          <t>Prospect</t>
        </is>
      </c>
      <c r="E247" s="6" t="inlineStr">
        <is>
          <t>Visit / Prospect</t>
        </is>
      </c>
      <c r="F247" s="6" t="n">
        <v>9</v>
      </c>
      <c r="G247" s="6" t="n">
        <v>0</v>
      </c>
      <c r="H247" s="6" t="inlineStr">
        <is>
          <t>0</t>
        </is>
      </c>
      <c r="I247" s="6" t="inlineStr">
        <is>
          <t>0</t>
        </is>
      </c>
      <c r="J247" s="6" t="inlineStr"/>
      <c r="K247" s="6" t="inlineStr">
        <is>
          <t>2025-04-25</t>
        </is>
      </c>
      <c r="L247" s="6" t="inlineStr">
        <is>
          <t>447</t>
        </is>
      </c>
      <c r="M247" s="6" t="n">
        <v/>
      </c>
      <c r="N247" s="6" t="inlineStr">
        <is>
          <t>45</t>
        </is>
      </c>
      <c r="O247" s="6" t="inlineStr">
        <is>
          <t>C-D13</t>
        </is>
      </c>
      <c r="P247" s="6" t="inlineStr">
        <is>
          <t>Howell</t>
        </is>
      </c>
      <c r="Q247" s="6" t="inlineStr">
        <is>
          <t>1320 Byron Road, Howell, Michigan, 48843</t>
        </is>
      </c>
      <c r="R247" s="6" t="inlineStr"/>
      <c r="S247" s="6" t="inlineStr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</row>
    <row r="248">
      <c r="A248" s="6" t="inlineStr">
        <is>
          <t>My Health Urgent Care (Ascension) - Howell</t>
        </is>
      </c>
      <c r="B248" s="6" t="inlineStr">
        <is>
          <t>60644d75-2bd6-461f-8737-d149ab8c0ed3</t>
        </is>
      </c>
      <c r="C248" s="6" t="inlineStr">
        <is>
          <t>Urgent Care</t>
        </is>
      </c>
      <c r="D248" s="6" t="inlineStr">
        <is>
          <t>Prospect</t>
        </is>
      </c>
      <c r="E248" s="6" t="inlineStr">
        <is>
          <t>Visit / Prospect</t>
        </is>
      </c>
      <c r="F248" s="6" t="n">
        <v>9</v>
      </c>
      <c r="G248" s="6" t="n">
        <v>0</v>
      </c>
      <c r="H248" s="6" t="inlineStr">
        <is>
          <t>0</t>
        </is>
      </c>
      <c r="I248" s="6" t="inlineStr">
        <is>
          <t>0</t>
        </is>
      </c>
      <c r="J248" s="6" t="inlineStr"/>
      <c r="K248" s="6" t="inlineStr">
        <is>
          <t>2026-07-16</t>
        </is>
      </c>
      <c r="L248" s="6" t="inlineStr">
        <is>
          <t>0</t>
        </is>
      </c>
      <c r="M248" s="6" t="n">
        <v/>
      </c>
      <c r="N248" s="6" t="inlineStr">
        <is>
          <t>45</t>
        </is>
      </c>
      <c r="O248" s="6" t="inlineStr">
        <is>
          <t>C-D13</t>
        </is>
      </c>
      <c r="P248" s="6" t="inlineStr">
        <is>
          <t>Howell</t>
        </is>
      </c>
      <c r="Q248" s="6" t="inlineStr">
        <is>
          <t>1225 S Latson Rd, Howell, Michigan, 48843</t>
        </is>
      </c>
      <c r="R248" s="6" t="inlineStr"/>
      <c r="S248" s="6" t="inlineStr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</row>
    <row r="249">
      <c r="A249" s="6" t="inlineStr">
        <is>
          <t>Premier Family Medicine - Livingston</t>
        </is>
      </c>
      <c r="B249" s="6" t="inlineStr">
        <is>
          <t>24e0dcd5-ef5f-4db1-af06-f9751bb1d6a8</t>
        </is>
      </c>
      <c r="C249" s="6" t="inlineStr">
        <is>
          <t>PCP</t>
        </is>
      </c>
      <c r="D249" s="6" t="inlineStr">
        <is>
          <t>Prospect</t>
        </is>
      </c>
      <c r="E249" s="6" t="inlineStr">
        <is>
          <t>Visit / Prospect</t>
        </is>
      </c>
      <c r="F249" s="6" t="n">
        <v>9</v>
      </c>
      <c r="G249" s="6" t="n">
        <v>0</v>
      </c>
      <c r="H249" s="6" t="inlineStr">
        <is>
          <t>0</t>
        </is>
      </c>
      <c r="I249" s="6" t="inlineStr">
        <is>
          <t>0</t>
        </is>
      </c>
      <c r="J249" s="6" t="inlineStr"/>
      <c r="K249" s="6" t="inlineStr">
        <is>
          <t>2026-04-28</t>
        </is>
      </c>
      <c r="L249" s="6" t="inlineStr">
        <is>
          <t>79</t>
        </is>
      </c>
      <c r="M249" s="6" t="n">
        <v/>
      </c>
      <c r="N249" s="6" t="inlineStr">
        <is>
          <t>45</t>
        </is>
      </c>
      <c r="O249" s="6" t="inlineStr">
        <is>
          <t>C-D13</t>
        </is>
      </c>
      <c r="P249" s="6" t="inlineStr">
        <is>
          <t>Howell</t>
        </is>
      </c>
      <c r="Q249" s="6" t="inlineStr">
        <is>
          <t>1225 S Latson Rd #340, Howell, Michigan, 48843</t>
        </is>
      </c>
      <c r="R249" s="6" t="inlineStr"/>
      <c r="S249" s="6" t="inlineStr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</row>
    <row r="250">
      <c r="A250" s="6" t="inlineStr">
        <is>
          <t>Motor City Ortho - Howell</t>
        </is>
      </c>
      <c r="B250" s="6" t="inlineStr">
        <is>
          <t>08675f4f-7413-4eb3-9c68-0bb657acb583</t>
        </is>
      </c>
      <c r="C250" s="6" t="inlineStr">
        <is>
          <t>Orthopedic</t>
        </is>
      </c>
      <c r="D250" s="6" t="inlineStr">
        <is>
          <t>Prospect</t>
        </is>
      </c>
      <c r="E250" s="6" t="inlineStr">
        <is>
          <t>Visit / Prospect</t>
        </is>
      </c>
      <c r="F250" s="6" t="n">
        <v>9</v>
      </c>
      <c r="G250" s="6" t="n">
        <v>0</v>
      </c>
      <c r="H250" s="6" t="inlineStr">
        <is>
          <t>0</t>
        </is>
      </c>
      <c r="I250" s="6" t="inlineStr">
        <is>
          <t>0</t>
        </is>
      </c>
      <c r="J250" s="6" t="inlineStr"/>
      <c r="K250" s="6" t="inlineStr">
        <is>
          <t>2026-07-16</t>
        </is>
      </c>
      <c r="L250" s="6" t="inlineStr">
        <is>
          <t>0</t>
        </is>
      </c>
      <c r="M250" s="6" t="n">
        <v/>
      </c>
      <c r="N250" s="6" t="inlineStr">
        <is>
          <t>45</t>
        </is>
      </c>
      <c r="O250" s="6" t="inlineStr">
        <is>
          <t>C-D13</t>
        </is>
      </c>
      <c r="P250" s="6" t="inlineStr">
        <is>
          <t>Howell</t>
        </is>
      </c>
      <c r="Q250" s="6" t="inlineStr">
        <is>
          <t>1225 South Latson Road, Howell, Michigan, 48843</t>
        </is>
      </c>
      <c r="R250" s="6" t="inlineStr"/>
      <c r="S250" s="6" t="inlineStr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</row>
    <row r="251">
      <c r="A251" s="6" t="inlineStr">
        <is>
          <t>Advanced Orthopedic Specialists</t>
        </is>
      </c>
      <c r="B251" s="6" t="inlineStr">
        <is>
          <t>1043279235</t>
        </is>
      </c>
      <c r="C251" s="6" t="inlineStr">
        <is>
          <t>Orthopedic</t>
        </is>
      </c>
      <c r="D251" s="6" t="inlineStr">
        <is>
          <t>Prospect</t>
        </is>
      </c>
      <c r="E251" s="6" t="inlineStr">
        <is>
          <t>Visit / Prospect</t>
        </is>
      </c>
      <c r="F251" s="6" t="n">
        <v>9</v>
      </c>
      <c r="G251" s="6" t="n">
        <v>0</v>
      </c>
      <c r="H251" s="6" t="inlineStr">
        <is>
          <t>0</t>
        </is>
      </c>
      <c r="I251" s="6" t="inlineStr">
        <is>
          <t>0</t>
        </is>
      </c>
      <c r="J251" s="6" t="inlineStr"/>
      <c r="K251" s="6" t="inlineStr">
        <is>
          <t>2025-03-31</t>
        </is>
      </c>
      <c r="L251" s="6" t="inlineStr">
        <is>
          <t>472</t>
        </is>
      </c>
      <c r="M251" s="6" t="n">
        <v/>
      </c>
      <c r="N251" s="6" t="inlineStr">
        <is>
          <t>45</t>
        </is>
      </c>
      <c r="O251" s="6" t="inlineStr">
        <is>
          <t>C-D13</t>
        </is>
      </c>
      <c r="P251" s="6" t="inlineStr">
        <is>
          <t>Brighton</t>
        </is>
      </c>
      <c r="Q251" s="6" t="inlineStr">
        <is>
          <t>2305 Genoa Business Park Dr, Unit 170, Brighton, Michigan, 48114</t>
        </is>
      </c>
      <c r="R251" s="6" t="inlineStr"/>
      <c r="S251" s="6" t="inlineStr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</row>
    <row r="252">
      <c r="A252" s="6" t="inlineStr">
        <is>
          <t>Oakland Macomb Surgical Group - Madison Heights</t>
        </is>
      </c>
      <c r="B252" s="6" t="inlineStr">
        <is>
          <t>32aae41b-03f7-4ba2-a919-c78cfed30f30</t>
        </is>
      </c>
      <c r="C252" s="6" t="inlineStr">
        <is>
          <t>Orthopedic</t>
        </is>
      </c>
      <c r="D252" s="6" t="inlineStr">
        <is>
          <t>Prospect</t>
        </is>
      </c>
      <c r="E252" s="6" t="inlineStr">
        <is>
          <t>Visit / Prospect</t>
        </is>
      </c>
      <c r="F252" s="6" t="n">
        <v>9</v>
      </c>
      <c r="G252" s="6" t="n">
        <v>0</v>
      </c>
      <c r="H252" s="6" t="inlineStr">
        <is>
          <t>0</t>
        </is>
      </c>
      <c r="I252" s="6" t="inlineStr">
        <is>
          <t>0</t>
        </is>
      </c>
      <c r="J252" s="6" t="inlineStr"/>
      <c r="K252" s="6" t="inlineStr">
        <is>
          <t>2025-07-21</t>
        </is>
      </c>
      <c r="L252" s="6" t="inlineStr">
        <is>
          <t>360</t>
        </is>
      </c>
      <c r="M252" s="6" t="n">
        <v/>
      </c>
      <c r="N252" s="6" t="inlineStr">
        <is>
          <t>45</t>
        </is>
      </c>
      <c r="O252" s="6" t="inlineStr">
        <is>
          <t>C-D14</t>
        </is>
      </c>
      <c r="P252" s="6" t="inlineStr">
        <is>
          <t>Madison Heights</t>
        </is>
      </c>
      <c r="Q252" s="6" t="inlineStr">
        <is>
          <t>27483 Dequindre Rd suite 301, Madison Heights, Michigan, 48071</t>
        </is>
      </c>
      <c r="R252" s="6" t="inlineStr"/>
      <c r="S252" s="6" t="inlineStr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</row>
    <row r="253">
      <c r="A253" s="6" t="inlineStr">
        <is>
          <t>Amro Shata MD</t>
        </is>
      </c>
      <c r="B253" s="6" t="inlineStr">
        <is>
          <t>ff141e2c-04dd-45c4-beb5-914790640293</t>
        </is>
      </c>
      <c r="C253" s="6" t="inlineStr">
        <is>
          <t>PCP</t>
        </is>
      </c>
      <c r="D253" s="6" t="inlineStr">
        <is>
          <t>Prospect</t>
        </is>
      </c>
      <c r="E253" s="6" t="inlineStr">
        <is>
          <t>Visit / Prospect</t>
        </is>
      </c>
      <c r="F253" s="6" t="n">
        <v>9</v>
      </c>
      <c r="G253" s="6" t="n">
        <v>0</v>
      </c>
      <c r="H253" s="6" t="inlineStr">
        <is>
          <t>0</t>
        </is>
      </c>
      <c r="I253" s="6" t="inlineStr">
        <is>
          <t>0</t>
        </is>
      </c>
      <c r="J253" s="6" t="inlineStr"/>
      <c r="K253" s="6" t="inlineStr">
        <is>
          <t>2026-06-04</t>
        </is>
      </c>
      <c r="L253" s="6" t="inlineStr">
        <is>
          <t>42</t>
        </is>
      </c>
      <c r="M253" s="6" t="n">
        <v/>
      </c>
      <c r="N253" s="6" t="inlineStr">
        <is>
          <t>45</t>
        </is>
      </c>
      <c r="O253" s="6" t="inlineStr">
        <is>
          <t>C-D15</t>
        </is>
      </c>
      <c r="P253" s="6" t="inlineStr">
        <is>
          <t>Troy</t>
        </is>
      </c>
      <c r="Q253" s="6" t="inlineStr">
        <is>
          <t>1380 Coolidge Highway, ste 100, Troy, Michigan, 48084</t>
        </is>
      </c>
      <c r="R253" s="6" t="inlineStr"/>
      <c r="S253" s="6" t="inlineStr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</row>
    <row r="254">
      <c r="A254" s="6" t="inlineStr">
        <is>
          <t>Family Medicine &amp; Wellness</t>
        </is>
      </c>
      <c r="B254" s="6" t="inlineStr">
        <is>
          <t>1679671416</t>
        </is>
      </c>
      <c r="C254" s="6" t="inlineStr">
        <is>
          <t>PCP</t>
        </is>
      </c>
      <c r="D254" s="6" t="inlineStr">
        <is>
          <t>Prospect</t>
        </is>
      </c>
      <c r="E254" s="6" t="inlineStr">
        <is>
          <t>Visit / Prospect</t>
        </is>
      </c>
      <c r="F254" s="6" t="n">
        <v>9</v>
      </c>
      <c r="G254" s="6" t="n">
        <v>0</v>
      </c>
      <c r="H254" s="6" t="inlineStr">
        <is>
          <t>0</t>
        </is>
      </c>
      <c r="I254" s="6" t="inlineStr">
        <is>
          <t>0</t>
        </is>
      </c>
      <c r="J254" s="6" t="inlineStr"/>
      <c r="K254" s="6" t="inlineStr">
        <is>
          <t>2026-06-03</t>
        </is>
      </c>
      <c r="L254" s="6" t="inlineStr">
        <is>
          <t>43</t>
        </is>
      </c>
      <c r="M254" s="6" t="n">
        <v/>
      </c>
      <c r="N254" s="6" t="inlineStr">
        <is>
          <t>45</t>
        </is>
      </c>
      <c r="O254" s="6" t="inlineStr">
        <is>
          <t>C-D15</t>
        </is>
      </c>
      <c r="P254" s="6" t="inlineStr">
        <is>
          <t>Troy</t>
        </is>
      </c>
      <c r="Q254" s="6" t="inlineStr">
        <is>
          <t>1579 W Big Beaver Rd, ste B5, Troy, MI, 48084</t>
        </is>
      </c>
      <c r="R254" s="6" t="inlineStr"/>
      <c r="S254" s="6" t="inlineStr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</row>
    <row r="255">
      <c r="A255" s="6" t="inlineStr">
        <is>
          <t>Beaumont Neurosurgery</t>
        </is>
      </c>
      <c r="B255" s="6" t="inlineStr">
        <is>
          <t>1609867985</t>
        </is>
      </c>
      <c r="C255" s="6" t="inlineStr">
        <is>
          <t>Orthopedic</t>
        </is>
      </c>
      <c r="D255" s="6" t="inlineStr">
        <is>
          <t>Prospect</t>
        </is>
      </c>
      <c r="E255" s="6" t="inlineStr">
        <is>
          <t>Visit / Prospect</t>
        </is>
      </c>
      <c r="F255" s="6" t="n">
        <v>9</v>
      </c>
      <c r="G255" s="6" t="n">
        <v>0</v>
      </c>
      <c r="H255" s="6" t="inlineStr">
        <is>
          <t>0</t>
        </is>
      </c>
      <c r="I255" s="6" t="inlineStr">
        <is>
          <t>0</t>
        </is>
      </c>
      <c r="J255" s="6" t="inlineStr"/>
      <c r="K255" s="6" t="inlineStr">
        <is>
          <t>2026-06-10</t>
        </is>
      </c>
      <c r="L255" s="6" t="inlineStr">
        <is>
          <t>36</t>
        </is>
      </c>
      <c r="M255" s="6" t="n">
        <v/>
      </c>
      <c r="N255" s="6" t="inlineStr">
        <is>
          <t>45</t>
        </is>
      </c>
      <c r="O255" s="6" t="inlineStr">
        <is>
          <t>C-D16</t>
        </is>
      </c>
      <c r="P255" s="6" t="inlineStr">
        <is>
          <t>Troy</t>
        </is>
      </c>
      <c r="Q255" s="6" t="inlineStr">
        <is>
          <t>44199 Dequindre Rd, ste 520, Troy, MI, 48085</t>
        </is>
      </c>
      <c r="R255" s="6" t="inlineStr"/>
      <c r="S255" s="6" t="inlineStr">
        <is>
          <t>Neurosurgeon unlikely to cross-refer (Jul 20 rule) → Review for removal</t>
        </is>
      </c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</row>
    <row r="256">
      <c r="A256" s="6" t="inlineStr">
        <is>
          <t>AMG Oak Park Medical Center</t>
        </is>
      </c>
      <c r="B256" s="6" t="inlineStr">
        <is>
          <t>1447235015</t>
        </is>
      </c>
      <c r="C256" s="6" t="inlineStr">
        <is>
          <t>PCP</t>
        </is>
      </c>
      <c r="D256" s="6" t="inlineStr">
        <is>
          <t>Prospect</t>
        </is>
      </c>
      <c r="E256" s="6" t="inlineStr">
        <is>
          <t>Visit / Prospect</t>
        </is>
      </c>
      <c r="F256" s="6" t="n">
        <v>9</v>
      </c>
      <c r="G256" s="6" t="n">
        <v>0</v>
      </c>
      <c r="H256" s="6" t="inlineStr">
        <is>
          <t>0</t>
        </is>
      </c>
      <c r="I256" s="6" t="inlineStr">
        <is>
          <t>0</t>
        </is>
      </c>
      <c r="J256" s="6" t="inlineStr"/>
      <c r="K256" s="6" t="inlineStr">
        <is>
          <t>2026-05-21</t>
        </is>
      </c>
      <c r="L256" s="6" t="inlineStr">
        <is>
          <t>56</t>
        </is>
      </c>
      <c r="M256" s="6" t="n">
        <v/>
      </c>
      <c r="N256" s="6" t="inlineStr">
        <is>
          <t>45</t>
        </is>
      </c>
      <c r="O256" s="6" t="inlineStr">
        <is>
          <t>C-D17</t>
        </is>
      </c>
      <c r="P256" s="6" t="inlineStr">
        <is>
          <t>Oak Park</t>
        </is>
      </c>
      <c r="Q256" s="6" t="inlineStr">
        <is>
          <t>15300 W 9 Mile Rd, ste 1, Oak Park, MI, 48237</t>
        </is>
      </c>
      <c r="R256" s="6" t="inlineStr"/>
      <c r="S256" s="6" t="inlineStr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</row>
    <row r="257">
      <c r="A257" s="6" t="inlineStr">
        <is>
          <t>Ascension Providence Partners in Womens Health</t>
        </is>
      </c>
      <c r="B257" s="6" t="inlineStr">
        <is>
          <t>c796443f-9c0a-4e5d-9f5a-df76d3e311bc</t>
        </is>
      </c>
      <c r="C257" s="6" t="inlineStr">
        <is>
          <t>Pain</t>
        </is>
      </c>
      <c r="D257" s="6" t="inlineStr">
        <is>
          <t>Prospect</t>
        </is>
      </c>
      <c r="E257" s="6" t="inlineStr">
        <is>
          <t>Visit / Prospect</t>
        </is>
      </c>
      <c r="F257" s="6" t="n">
        <v>9</v>
      </c>
      <c r="G257" s="6" t="n">
        <v>0</v>
      </c>
      <c r="H257" s="6" t="inlineStr">
        <is>
          <t>0</t>
        </is>
      </c>
      <c r="I257" s="6" t="inlineStr">
        <is>
          <t>0</t>
        </is>
      </c>
      <c r="J257" s="6" t="inlineStr"/>
      <c r="K257" s="6" t="inlineStr">
        <is>
          <t>2024-09-11</t>
        </is>
      </c>
      <c r="L257" s="6" t="inlineStr">
        <is>
          <t>673</t>
        </is>
      </c>
      <c r="M257" s="6" t="n">
        <v/>
      </c>
      <c r="N257" s="6" t="inlineStr">
        <is>
          <t>45</t>
        </is>
      </c>
      <c r="O257" s="6" t="inlineStr">
        <is>
          <t>C-D17</t>
        </is>
      </c>
      <c r="P257" s="6" t="inlineStr">
        <is>
          <t>Southfield</t>
        </is>
      </c>
      <c r="Q257" s="6" t="inlineStr">
        <is>
          <t>22250 Providence Dr ste 300, Southfield, Michigan, 48075</t>
        </is>
      </c>
      <c r="R257" s="6" t="inlineStr"/>
      <c r="S257" s="6" t="inlineStr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</row>
    <row r="258">
      <c r="A258" s="6" t="inlineStr">
        <is>
          <t>Pulmonary &amp; Internal Medicine Specialists</t>
        </is>
      </c>
      <c r="B258" s="6" t="inlineStr">
        <is>
          <t>2fc64685-2270-4f5f-827a-7788409cd5cd</t>
        </is>
      </c>
      <c r="C258" s="6" t="inlineStr">
        <is>
          <t>PCP</t>
        </is>
      </c>
      <c r="D258" s="6" t="inlineStr">
        <is>
          <t>Prospect</t>
        </is>
      </c>
      <c r="E258" s="6" t="inlineStr">
        <is>
          <t>Visit / Prospect</t>
        </is>
      </c>
      <c r="F258" s="6" t="n">
        <v>9</v>
      </c>
      <c r="G258" s="6" t="n">
        <v>0</v>
      </c>
      <c r="H258" s="6" t="inlineStr">
        <is>
          <t>0</t>
        </is>
      </c>
      <c r="I258" s="6" t="inlineStr">
        <is>
          <t>0</t>
        </is>
      </c>
      <c r="J258" s="6" t="inlineStr"/>
      <c r="K258" s="6" t="inlineStr">
        <is>
          <t>2026-05-28</t>
        </is>
      </c>
      <c r="L258" s="6" t="inlineStr">
        <is>
          <t>49</t>
        </is>
      </c>
      <c r="M258" s="6" t="n">
        <v/>
      </c>
      <c r="N258" s="6" t="inlineStr">
        <is>
          <t>45</t>
        </is>
      </c>
      <c r="O258" s="6" t="inlineStr">
        <is>
          <t>C-D17</t>
        </is>
      </c>
      <c r="P258" s="6" t="inlineStr">
        <is>
          <t>Southfield</t>
        </is>
      </c>
      <c r="Q258" s="6" t="inlineStr">
        <is>
          <t>26699 West 12 Mile Road, Southfield, Michigan, 48034</t>
        </is>
      </c>
      <c r="R258" s="6" t="inlineStr"/>
      <c r="S258" s="6" t="inlineStr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</row>
    <row r="259">
      <c r="A259" s="6" t="inlineStr">
        <is>
          <t>Corewell Center for Pain Management</t>
        </is>
      </c>
      <c r="B259" s="6" t="inlineStr">
        <is>
          <t>04479e76-ae4d-4d52-886f-d3d8ecc2072f</t>
        </is>
      </c>
      <c r="C259" s="6" t="inlineStr">
        <is>
          <t>Pain</t>
        </is>
      </c>
      <c r="D259" s="6" t="inlineStr">
        <is>
          <t>Prospect</t>
        </is>
      </c>
      <c r="E259" s="6" t="inlineStr">
        <is>
          <t>Visit / Prospect</t>
        </is>
      </c>
      <c r="F259" s="6" t="n">
        <v>9</v>
      </c>
      <c r="G259" s="6" t="n">
        <v>0</v>
      </c>
      <c r="H259" s="6" t="inlineStr">
        <is>
          <t>0</t>
        </is>
      </c>
      <c r="I259" s="6" t="inlineStr">
        <is>
          <t>0</t>
        </is>
      </c>
      <c r="J259" s="6" t="inlineStr"/>
      <c r="K259" s="6" t="inlineStr">
        <is>
          <t>2025-04-15</t>
        </is>
      </c>
      <c r="L259" s="6" t="inlineStr">
        <is>
          <t>457</t>
        </is>
      </c>
      <c r="M259" s="6" t="n">
        <v/>
      </c>
      <c r="N259" s="6" t="inlineStr">
        <is>
          <t>45</t>
        </is>
      </c>
      <c r="O259" s="6" t="inlineStr">
        <is>
          <t>C-D18</t>
        </is>
      </c>
      <c r="P259" s="6" t="inlineStr">
        <is>
          <t>Rochester Hills</t>
        </is>
      </c>
      <c r="Q259" s="6" t="inlineStr">
        <is>
          <t>1555 East South Boulevard, Rochester Hills, Michigan, 48307</t>
        </is>
      </c>
      <c r="R259" s="6" t="inlineStr"/>
      <c r="S259" s="6" t="inlineStr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</row>
    <row r="260">
      <c r="A260" s="6" t="inlineStr">
        <is>
          <t>Phase Family Medicine</t>
        </is>
      </c>
      <c r="B260" s="6" t="inlineStr">
        <is>
          <t>724c2230-0806-48f5-ac79-5255959b0a73</t>
        </is>
      </c>
      <c r="C260" s="6" t="inlineStr">
        <is>
          <t>PCP</t>
        </is>
      </c>
      <c r="D260" s="6" t="inlineStr">
        <is>
          <t>Prospect</t>
        </is>
      </c>
      <c r="E260" s="6" t="inlineStr">
        <is>
          <t>Visit / Prospect</t>
        </is>
      </c>
      <c r="F260" s="6" t="n">
        <v>9</v>
      </c>
      <c r="G260" s="6" t="n">
        <v>0</v>
      </c>
      <c r="H260" s="6" t="inlineStr">
        <is>
          <t>0</t>
        </is>
      </c>
      <c r="I260" s="6" t="inlineStr">
        <is>
          <t>0</t>
        </is>
      </c>
      <c r="J260" s="6" t="inlineStr"/>
      <c r="K260" s="6" t="inlineStr">
        <is>
          <t>2026-06-12</t>
        </is>
      </c>
      <c r="L260" s="6" t="inlineStr">
        <is>
          <t>34</t>
        </is>
      </c>
      <c r="M260" s="6" t="n">
        <v/>
      </c>
      <c r="N260" s="6" t="inlineStr">
        <is>
          <t>45</t>
        </is>
      </c>
      <c r="O260" s="6" t="inlineStr">
        <is>
          <t>C-D18</t>
        </is>
      </c>
      <c r="P260" s="6" t="inlineStr">
        <is>
          <t>Troy</t>
        </is>
      </c>
      <c r="Q260" s="6" t="inlineStr">
        <is>
          <t>89 West South Boulevard, Troy, Michigan, 48085</t>
        </is>
      </c>
      <c r="R260" s="6" t="inlineStr"/>
      <c r="S260" s="6" t="inlineStr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</row>
    <row r="261">
      <c r="A261" s="6" t="inlineStr">
        <is>
          <t>Rochester Family Medicine Center</t>
        </is>
      </c>
      <c r="B261" s="6" t="inlineStr">
        <is>
          <t>4f2b2878-de83-4132-b6b0-114a9794b70f</t>
        </is>
      </c>
      <c r="C261" s="6" t="inlineStr">
        <is>
          <t>PCP</t>
        </is>
      </c>
      <c r="D261" s="6" t="inlineStr">
        <is>
          <t>Prospect</t>
        </is>
      </c>
      <c r="E261" s="6" t="inlineStr">
        <is>
          <t>Visit / Prospect</t>
        </is>
      </c>
      <c r="F261" s="6" t="n">
        <v>9</v>
      </c>
      <c r="G261" s="6" t="n">
        <v>0</v>
      </c>
      <c r="H261" s="6" t="inlineStr">
        <is>
          <t>0</t>
        </is>
      </c>
      <c r="I261" s="6" t="inlineStr">
        <is>
          <t>0</t>
        </is>
      </c>
      <c r="J261" s="6" t="inlineStr"/>
      <c r="K261" s="6" t="inlineStr">
        <is>
          <t>2026-07-15</t>
        </is>
      </c>
      <c r="L261" s="6" t="inlineStr">
        <is>
          <t>1</t>
        </is>
      </c>
      <c r="M261" s="6" t="n">
        <v/>
      </c>
      <c r="N261" s="6" t="inlineStr">
        <is>
          <t>45</t>
        </is>
      </c>
      <c r="O261" s="6" t="inlineStr">
        <is>
          <t>C-D18</t>
        </is>
      </c>
      <c r="P261" s="6" t="inlineStr">
        <is>
          <t>Rochester Hills</t>
        </is>
      </c>
      <c r="Q261" s="6" t="inlineStr">
        <is>
          <t>2710 S Rochester Rd, Rochester Hills, Michigan, 48307</t>
        </is>
      </c>
      <c r="R261" s="6" t="inlineStr"/>
      <c r="S261" s="6" t="inlineStr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</row>
    <row r="262">
      <c r="A262" s="6" t="inlineStr">
        <is>
          <t>Clarkston Medical Group - Oxford</t>
        </is>
      </c>
      <c r="B262" s="6" t="inlineStr">
        <is>
          <t>d606572a-912c-4bad-b906-c9a8d0479eff</t>
        </is>
      </c>
      <c r="C262" s="6" t="inlineStr">
        <is>
          <t>Pain</t>
        </is>
      </c>
      <c r="D262" s="6" t="inlineStr">
        <is>
          <t>Prospect</t>
        </is>
      </c>
      <c r="E262" s="6" t="inlineStr">
        <is>
          <t>Visit / Prospect</t>
        </is>
      </c>
      <c r="F262" s="6" t="n">
        <v>9</v>
      </c>
      <c r="G262" s="6" t="n">
        <v>0</v>
      </c>
      <c r="H262" s="6" t="inlineStr">
        <is>
          <t>0</t>
        </is>
      </c>
      <c r="I262" s="6" t="inlineStr">
        <is>
          <t>0</t>
        </is>
      </c>
      <c r="J262" s="6" t="inlineStr"/>
      <c r="K262" s="6" t="inlineStr">
        <is>
          <t>2025-04-10</t>
        </is>
      </c>
      <c r="L262" s="6" t="inlineStr">
        <is>
          <t>462</t>
        </is>
      </c>
      <c r="M262" s="6" t="n">
        <v/>
      </c>
      <c r="N262" s="6" t="inlineStr">
        <is>
          <t>45</t>
        </is>
      </c>
      <c r="O262" s="6" t="inlineStr">
        <is>
          <t>C-D19</t>
        </is>
      </c>
      <c r="P262" s="6" t="inlineStr">
        <is>
          <t>OXFORD</t>
        </is>
      </c>
      <c r="Q262" s="6" t="inlineStr">
        <is>
          <t>834 s Lapeer rd, ste 100, OXFORD, Michigan, 48371</t>
        </is>
      </c>
      <c r="R262" s="6" t="inlineStr"/>
      <c r="S262" s="6" t="inlineStr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</row>
    <row r="263">
      <c r="A263" s="6" t="inlineStr">
        <is>
          <t>David S Hollett MD</t>
        </is>
      </c>
      <c r="B263" s="6" t="inlineStr">
        <is>
          <t>172f7e80-1532-4f45-8c82-d3d09547c86d</t>
        </is>
      </c>
      <c r="C263" s="6" t="inlineStr">
        <is>
          <t>PCP</t>
        </is>
      </c>
      <c r="D263" s="6" t="inlineStr">
        <is>
          <t>Prospect</t>
        </is>
      </c>
      <c r="E263" s="6" t="inlineStr">
        <is>
          <t>Visit / Prospect</t>
        </is>
      </c>
      <c r="F263" s="6" t="n">
        <v>9</v>
      </c>
      <c r="G263" s="6" t="n">
        <v>0</v>
      </c>
      <c r="H263" s="6" t="inlineStr">
        <is>
          <t>0</t>
        </is>
      </c>
      <c r="I263" s="6" t="inlineStr">
        <is>
          <t>0</t>
        </is>
      </c>
      <c r="J263" s="6" t="inlineStr"/>
      <c r="K263" s="6" t="inlineStr">
        <is>
          <t>2026-05-27</t>
        </is>
      </c>
      <c r="L263" s="6" t="inlineStr">
        <is>
          <t>50</t>
        </is>
      </c>
      <c r="M263" s="6" t="n">
        <v/>
      </c>
      <c r="N263" s="6" t="inlineStr">
        <is>
          <t>45</t>
        </is>
      </c>
      <c r="O263" s="6" t="inlineStr">
        <is>
          <t>C-D19</t>
        </is>
      </c>
      <c r="P263" s="6" t="inlineStr">
        <is>
          <t>Rochester Hills</t>
        </is>
      </c>
      <c r="Q263" s="6" t="inlineStr">
        <is>
          <t>1500 Walton Blvd., Rochester Hills, Michigan, 48309</t>
        </is>
      </c>
      <c r="R263" s="6" t="inlineStr"/>
      <c r="S263" s="6" t="inlineStr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</row>
    <row r="264">
      <c r="A264" s="6" t="inlineStr">
        <is>
          <t>Raad Kasmikha MD,</t>
        </is>
      </c>
      <c r="B264" s="6" t="inlineStr">
        <is>
          <t>1013980531</t>
        </is>
      </c>
      <c r="C264" s="6" t="inlineStr">
        <is>
          <t>PCP</t>
        </is>
      </c>
      <c r="D264" s="6" t="inlineStr">
        <is>
          <t>Prospect</t>
        </is>
      </c>
      <c r="E264" s="6" t="inlineStr">
        <is>
          <t>Visit / Prospect</t>
        </is>
      </c>
      <c r="F264" s="6" t="n">
        <v>9</v>
      </c>
      <c r="G264" s="6" t="n">
        <v>0</v>
      </c>
      <c r="H264" s="6" t="inlineStr">
        <is>
          <t>0</t>
        </is>
      </c>
      <c r="I264" s="6" t="inlineStr">
        <is>
          <t>0</t>
        </is>
      </c>
      <c r="J264" s="6" t="inlineStr"/>
      <c r="K264" s="6" t="inlineStr">
        <is>
          <t>2026-05-27</t>
        </is>
      </c>
      <c r="L264" s="6" t="inlineStr">
        <is>
          <t>50</t>
        </is>
      </c>
      <c r="M264" s="6" t="n">
        <v/>
      </c>
      <c r="N264" s="6" t="inlineStr">
        <is>
          <t>45</t>
        </is>
      </c>
      <c r="O264" s="6" t="inlineStr">
        <is>
          <t>C-D19</t>
        </is>
      </c>
      <c r="P264" s="6" t="inlineStr">
        <is>
          <t>Rochester Hills</t>
        </is>
      </c>
      <c r="Q264" s="6" t="inlineStr">
        <is>
          <t>1498 Walton Boulevard, Rochester Hills, Michigan, 48309</t>
        </is>
      </c>
      <c r="R264" s="6" t="inlineStr"/>
      <c r="S264" s="6" t="inlineStr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</row>
    <row r="265">
      <c r="A265" s="6" t="inlineStr">
        <is>
          <t>Oakland Macomb Surgical Group</t>
        </is>
      </c>
      <c r="B265" s="6" t="inlineStr">
        <is>
          <t>daf6238f-f813-4c2b-8e5a-1438806414dc</t>
        </is>
      </c>
      <c r="C265" s="6" t="inlineStr">
        <is>
          <t>Orthopedic</t>
        </is>
      </c>
      <c r="D265" s="6" t="inlineStr">
        <is>
          <t>Prospect</t>
        </is>
      </c>
      <c r="E265" s="6" t="inlineStr">
        <is>
          <t>Visit / Prospect</t>
        </is>
      </c>
      <c r="F265" s="6" t="n">
        <v>9</v>
      </c>
      <c r="G265" s="6" t="n">
        <v>0</v>
      </c>
      <c r="H265" s="6" t="inlineStr">
        <is>
          <t>0</t>
        </is>
      </c>
      <c r="I265" s="6" t="inlineStr">
        <is>
          <t>0</t>
        </is>
      </c>
      <c r="J265" s="6" t="inlineStr"/>
      <c r="K265" s="6" t="inlineStr">
        <is>
          <t>2025-02-04</t>
        </is>
      </c>
      <c r="L265" s="6" t="inlineStr">
        <is>
          <t>527</t>
        </is>
      </c>
      <c r="M265" s="6" t="n">
        <v/>
      </c>
      <c r="N265" s="6" t="inlineStr">
        <is>
          <t>45</t>
        </is>
      </c>
      <c r="O265" s="6" t="inlineStr">
        <is>
          <t>C-D19</t>
        </is>
      </c>
      <c r="P265" s="6" t="inlineStr">
        <is>
          <t>Rochester Hills</t>
        </is>
      </c>
      <c r="Q265" s="6" t="inlineStr">
        <is>
          <t>1135 W University Dr ste 240, Rochester Hills, Michigan, 48307</t>
        </is>
      </c>
      <c r="R265" s="6" t="inlineStr"/>
      <c r="S265" s="6" t="inlineStr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</row>
    <row r="266">
      <c r="A266" s="6" t="inlineStr">
        <is>
          <t>Henry Ford Macomb Orthopedics - Chesterfield</t>
        </is>
      </c>
      <c r="B266" s="6" t="inlineStr">
        <is>
          <t>118d4718-8c24-42b0-ae12-a1975f146750</t>
        </is>
      </c>
      <c r="C266" s="6" t="inlineStr">
        <is>
          <t>Orthopedic</t>
        </is>
      </c>
      <c r="D266" s="6" t="inlineStr">
        <is>
          <t>Prospect</t>
        </is>
      </c>
      <c r="E266" s="6" t="inlineStr">
        <is>
          <t>Visit / Prospect</t>
        </is>
      </c>
      <c r="F266" s="6" t="n">
        <v>9</v>
      </c>
      <c r="G266" s="6" t="n">
        <v>0</v>
      </c>
      <c r="H266" s="6" t="inlineStr">
        <is>
          <t>0</t>
        </is>
      </c>
      <c r="I266" s="6" t="inlineStr">
        <is>
          <t>0</t>
        </is>
      </c>
      <c r="J266" s="6" t="inlineStr"/>
      <c r="K266" s="6" t="inlineStr">
        <is>
          <t>2025-04-14</t>
        </is>
      </c>
      <c r="L266" s="6" t="inlineStr">
        <is>
          <t>458</t>
        </is>
      </c>
      <c r="M266" s="6" t="n">
        <v/>
      </c>
      <c r="N266" s="6" t="inlineStr">
        <is>
          <t>45</t>
        </is>
      </c>
      <c r="O266" s="6" t="inlineStr">
        <is>
          <t>C-D20</t>
        </is>
      </c>
      <c r="P266" s="6" t="inlineStr">
        <is>
          <t>Chesterfield</t>
        </is>
      </c>
      <c r="Q266" s="6" t="inlineStr">
        <is>
          <t>30795 23 Mile Rd ste 209, Chesterfield, Michigan, 48047</t>
        </is>
      </c>
      <c r="R266" s="6" t="inlineStr"/>
      <c r="S266" s="6" t="inlineStr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</row>
    <row r="267">
      <c r="A267" s="6" t="inlineStr">
        <is>
          <t>Eastside Neurosurgery - Macomb</t>
        </is>
      </c>
      <c r="B267" s="6" t="inlineStr">
        <is>
          <t>d361f230-715e-4c7e-87a9-bf50246f42f4</t>
        </is>
      </c>
      <c r="C267" s="6" t="inlineStr">
        <is>
          <t>Orthopedic</t>
        </is>
      </c>
      <c r="D267" s="6" t="inlineStr">
        <is>
          <t>Prospect</t>
        </is>
      </c>
      <c r="E267" s="6" t="inlineStr">
        <is>
          <t>Visit / Prospect</t>
        </is>
      </c>
      <c r="F267" s="6" t="n">
        <v>9</v>
      </c>
      <c r="G267" s="6" t="n">
        <v>0</v>
      </c>
      <c r="H267" s="6" t="inlineStr">
        <is>
          <t>0</t>
        </is>
      </c>
      <c r="I267" s="6" t="inlineStr">
        <is>
          <t>0</t>
        </is>
      </c>
      <c r="J267" s="6" t="inlineStr"/>
      <c r="K267" s="6" t="inlineStr">
        <is>
          <t>2026-04-15</t>
        </is>
      </c>
      <c r="L267" s="6" t="inlineStr">
        <is>
          <t>92</t>
        </is>
      </c>
      <c r="M267" s="6" t="n">
        <v/>
      </c>
      <c r="N267" s="6" t="inlineStr">
        <is>
          <t>45</t>
        </is>
      </c>
      <c r="O267" s="6" t="inlineStr">
        <is>
          <t>C-D20</t>
        </is>
      </c>
      <c r="P267" s="6" t="inlineStr">
        <is>
          <t>Macomb</t>
        </is>
      </c>
      <c r="Q267" s="6" t="inlineStr">
        <is>
          <t>17900 23 Mile Rd suite 303, Macomb, Michigan, 48044</t>
        </is>
      </c>
      <c r="R267" s="6" t="inlineStr"/>
      <c r="S267" s="6" t="inlineStr">
        <is>
          <t>Neurosurgeon unlikely to cross-refer (Jul 20 rule) → Review for removal</t>
        </is>
      </c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</row>
    <row r="268">
      <c r="A268" s="6" t="inlineStr">
        <is>
          <t>Niva Health</t>
        </is>
      </c>
      <c r="B268" s="6" t="inlineStr">
        <is>
          <t>1244d3ff-0839-4759-af42-e22dd1c77549</t>
        </is>
      </c>
      <c r="C268" s="6" t="inlineStr">
        <is>
          <t>PCP</t>
        </is>
      </c>
      <c r="D268" s="6" t="inlineStr">
        <is>
          <t>Prospect</t>
        </is>
      </c>
      <c r="E268" s="6" t="inlineStr">
        <is>
          <t>Visit / Prospect</t>
        </is>
      </c>
      <c r="F268" s="6" t="n">
        <v>9</v>
      </c>
      <c r="G268" s="6" t="n">
        <v>0</v>
      </c>
      <c r="H268" s="6" t="inlineStr">
        <is>
          <t>0</t>
        </is>
      </c>
      <c r="I268" s="6" t="inlineStr">
        <is>
          <t>0</t>
        </is>
      </c>
      <c r="J268" s="6" t="inlineStr"/>
      <c r="K268" s="6" t="inlineStr">
        <is>
          <t>2026-06-22</t>
        </is>
      </c>
      <c r="L268" s="6" t="inlineStr">
        <is>
          <t>24</t>
        </is>
      </c>
      <c r="M268" s="6" t="n">
        <v/>
      </c>
      <c r="N268" s="6" t="inlineStr">
        <is>
          <t>45</t>
        </is>
      </c>
      <c r="O268" s="6" t="inlineStr">
        <is>
          <t>C-D21</t>
        </is>
      </c>
      <c r="P268" s="6" t="inlineStr">
        <is>
          <t>Novi</t>
        </is>
      </c>
      <c r="Q268" s="6" t="inlineStr">
        <is>
          <t>25500 Meadowbrook Road, Novi, Michigan, 48375</t>
        </is>
      </c>
      <c r="R268" s="6" t="inlineStr"/>
      <c r="S268" s="6" t="inlineStr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</row>
    <row r="269">
      <c r="A269" s="6" t="inlineStr">
        <is>
          <t>Restorative Physical Medicine - Novi</t>
        </is>
      </c>
      <c r="B269" s="6" t="inlineStr">
        <is>
          <t>0e966842-32f3-40e8-91a7-4295b0ba0234</t>
        </is>
      </c>
      <c r="C269" s="6" t="inlineStr">
        <is>
          <t>Orthopedic</t>
        </is>
      </c>
      <c r="D269" s="6" t="inlineStr">
        <is>
          <t>Prospect</t>
        </is>
      </c>
      <c r="E269" s="6" t="inlineStr">
        <is>
          <t>Visit / Prospect</t>
        </is>
      </c>
      <c r="F269" s="6" t="n">
        <v>9</v>
      </c>
      <c r="G269" s="6" t="n">
        <v>0</v>
      </c>
      <c r="H269" s="6" t="inlineStr">
        <is>
          <t>0</t>
        </is>
      </c>
      <c r="I269" s="6" t="inlineStr">
        <is>
          <t>0</t>
        </is>
      </c>
      <c r="J269" s="6" t="inlineStr"/>
      <c r="K269" s="6" t="inlineStr">
        <is>
          <t>2025-06-25</t>
        </is>
      </c>
      <c r="L269" s="6" t="inlineStr">
        <is>
          <t>386</t>
        </is>
      </c>
      <c r="M269" s="6" t="n">
        <v/>
      </c>
      <c r="N269" s="6" t="inlineStr">
        <is>
          <t>45</t>
        </is>
      </c>
      <c r="O269" s="6" t="inlineStr">
        <is>
          <t>C-D21</t>
        </is>
      </c>
      <c r="P269" s="6" t="inlineStr">
        <is>
          <t>Novi</t>
        </is>
      </c>
      <c r="Q269" s="6" t="inlineStr">
        <is>
          <t>42350 Grand River Ave, Novi, Michigan, 48375</t>
        </is>
      </c>
      <c r="R269" s="6" t="inlineStr"/>
      <c r="S269" s="6" t="inlineStr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</row>
    <row r="270">
      <c r="A270" s="6" t="inlineStr">
        <is>
          <t>Ortho surgery of shoulder, hip, &amp; knee</t>
        </is>
      </c>
      <c r="B270" s="6" t="inlineStr">
        <is>
          <t>04-087-8298</t>
        </is>
      </c>
      <c r="C270" s="6" t="inlineStr">
        <is>
          <t>Orthopedic</t>
        </is>
      </c>
      <c r="D270" s="6" t="inlineStr">
        <is>
          <t>Prospect</t>
        </is>
      </c>
      <c r="E270" s="6" t="inlineStr">
        <is>
          <t>Visit / Prospect</t>
        </is>
      </c>
      <c r="F270" s="6" t="n">
        <v>9</v>
      </c>
      <c r="G270" s="6" t="n">
        <v>0</v>
      </c>
      <c r="H270" s="6" t="inlineStr">
        <is>
          <t>0</t>
        </is>
      </c>
      <c r="I270" s="6" t="inlineStr">
        <is>
          <t>0</t>
        </is>
      </c>
      <c r="J270" s="6" t="inlineStr"/>
      <c r="K270" s="6" t="inlineStr">
        <is>
          <t>2025-10-28</t>
        </is>
      </c>
      <c r="L270" s="6" t="inlineStr">
        <is>
          <t>261</t>
        </is>
      </c>
      <c r="M270" s="6" t="n">
        <v/>
      </c>
      <c r="N270" s="6" t="inlineStr">
        <is>
          <t>45</t>
        </is>
      </c>
      <c r="O270" s="6" t="inlineStr">
        <is>
          <t>C-D21</t>
        </is>
      </c>
      <c r="P270" s="6" t="inlineStr">
        <is>
          <t>Waterford</t>
        </is>
      </c>
      <c r="Q270" s="6" t="inlineStr">
        <is>
          <t>4800 Highland Rd, Waterford, MI, 48328-1176</t>
        </is>
      </c>
      <c r="R270" s="6" t="inlineStr"/>
      <c r="S270" s="6" t="inlineStr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</row>
    <row r="271">
      <c r="A271" s="6" t="inlineStr">
        <is>
          <t>Dixie Highway Internal Medicine</t>
        </is>
      </c>
      <c r="B271" s="6" t="inlineStr">
        <is>
          <t>24c37a8d-e3f3-4cd2-a704-ebb3e7739d4a</t>
        </is>
      </c>
      <c r="C271" s="6" t="inlineStr">
        <is>
          <t>PCP</t>
        </is>
      </c>
      <c r="D271" s="6" t="inlineStr">
        <is>
          <t>Prospect</t>
        </is>
      </c>
      <c r="E271" s="6" t="inlineStr">
        <is>
          <t>Visit / Prospect</t>
        </is>
      </c>
      <c r="F271" s="6" t="n">
        <v>9</v>
      </c>
      <c r="G271" s="6" t="n">
        <v>0</v>
      </c>
      <c r="H271" s="6" t="inlineStr">
        <is>
          <t>0</t>
        </is>
      </c>
      <c r="I271" s="6" t="inlineStr">
        <is>
          <t>0</t>
        </is>
      </c>
      <c r="J271" s="6" t="inlineStr"/>
      <c r="K271" s="6" t="inlineStr">
        <is>
          <t>2026-06-08</t>
        </is>
      </c>
      <c r="L271" s="6" t="inlineStr">
        <is>
          <t>38</t>
        </is>
      </c>
      <c r="M271" s="6" t="n">
        <v/>
      </c>
      <c r="N271" s="6" t="inlineStr">
        <is>
          <t>45</t>
        </is>
      </c>
      <c r="O271" s="6" t="inlineStr">
        <is>
          <t>C-D21</t>
        </is>
      </c>
      <c r="P271" s="6" t="inlineStr">
        <is>
          <t>City of the Village of Clarkston</t>
        </is>
      </c>
      <c r="Q271" s="6" t="inlineStr">
        <is>
          <t>5625 Water Tower Place suite 210, City of the Village of Clarkston, Michigan, 48346</t>
        </is>
      </c>
      <c r="R271" s="6" t="inlineStr"/>
      <c r="S271" s="6" t="inlineStr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</row>
    <row r="272">
      <c r="A272" s="6" t="inlineStr">
        <is>
          <t>Flint Children’s Center</t>
        </is>
      </c>
      <c r="B272" s="6" t="inlineStr">
        <is>
          <t>1a331ee5-5b2d-4703-a28c-28bea6ff2711</t>
        </is>
      </c>
      <c r="C272" s="6" t="inlineStr">
        <is>
          <t>Pain</t>
        </is>
      </c>
      <c r="D272" s="6" t="inlineStr">
        <is>
          <t>Prospect</t>
        </is>
      </c>
      <c r="E272" s="6" t="inlineStr">
        <is>
          <t>Visit / Prospect</t>
        </is>
      </c>
      <c r="F272" s="6" t="n">
        <v>9</v>
      </c>
      <c r="G272" s="6" t="n">
        <v>0</v>
      </c>
      <c r="H272" s="6" t="inlineStr">
        <is>
          <t>0</t>
        </is>
      </c>
      <c r="I272" s="6" t="inlineStr">
        <is>
          <t>0</t>
        </is>
      </c>
      <c r="J272" s="6" t="inlineStr"/>
      <c r="K272" s="6" t="inlineStr">
        <is>
          <t>2024-03-11</t>
        </is>
      </c>
      <c r="L272" s="6" t="inlineStr">
        <is>
          <t>857</t>
        </is>
      </c>
      <c r="M272" s="6" t="n">
        <v/>
      </c>
      <c r="N272" s="6" t="inlineStr">
        <is>
          <t>45</t>
        </is>
      </c>
      <c r="O272" s="6" t="inlineStr">
        <is>
          <t>C-D22</t>
        </is>
      </c>
      <c r="P272" s="6" t="inlineStr">
        <is>
          <t>Flint</t>
        </is>
      </c>
      <c r="Q272" s="6" t="inlineStr">
        <is>
          <t>5205 Norko Drive, Flint, Michigan, 48507</t>
        </is>
      </c>
      <c r="R272" s="6" t="inlineStr"/>
      <c r="S272" s="6" t="inlineStr">
        <is>
          <t>Pediatric (Jul 20 rule) → Review for removal</t>
        </is>
      </c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</row>
    <row r="273">
      <c r="A273" s="6" t="inlineStr">
        <is>
          <t>Mid-Michigan Pain Specialty</t>
        </is>
      </c>
      <c r="B273" s="6" t="inlineStr">
        <is>
          <t>4dd7647d-ac5e-4f26-a696-b59cd2cfb219</t>
        </is>
      </c>
      <c r="C273" s="6" t="inlineStr">
        <is>
          <t>Pain</t>
        </is>
      </c>
      <c r="D273" s="6" t="inlineStr">
        <is>
          <t>Prospect</t>
        </is>
      </c>
      <c r="E273" s="6" t="inlineStr">
        <is>
          <t>Visit / Prospect</t>
        </is>
      </c>
      <c r="F273" s="6" t="n">
        <v>9</v>
      </c>
      <c r="G273" s="6" t="n">
        <v>0</v>
      </c>
      <c r="H273" s="6" t="inlineStr">
        <is>
          <t>0</t>
        </is>
      </c>
      <c r="I273" s="6" t="inlineStr">
        <is>
          <t>0</t>
        </is>
      </c>
      <c r="J273" s="6" t="inlineStr"/>
      <c r="K273" s="6" t="inlineStr">
        <is>
          <t>2025-04-03</t>
        </is>
      </c>
      <c r="L273" s="6" t="inlineStr">
        <is>
          <t>469</t>
        </is>
      </c>
      <c r="M273" s="6" t="n">
        <v/>
      </c>
      <c r="N273" s="6" t="inlineStr">
        <is>
          <t>45</t>
        </is>
      </c>
      <c r="O273" s="6" t="inlineStr">
        <is>
          <t>C-D22</t>
        </is>
      </c>
      <c r="P273" s="6" t="inlineStr">
        <is>
          <t>Flint</t>
        </is>
      </c>
      <c r="Q273" s="6" t="inlineStr">
        <is>
          <t>4466 W Bristol Rd 2nd floor, Flint, Michigan, 48507</t>
        </is>
      </c>
      <c r="R273" s="6" t="inlineStr"/>
      <c r="S273" s="6" t="inlineStr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</row>
    <row r="274">
      <c r="A274" s="6" t="inlineStr">
        <is>
          <t>Ortho Michigan - Flint</t>
        </is>
      </c>
      <c r="B274" s="6" t="inlineStr">
        <is>
          <t>1235110537</t>
        </is>
      </c>
      <c r="C274" s="6" t="inlineStr">
        <is>
          <t>Orthopedic</t>
        </is>
      </c>
      <c r="D274" s="6" t="inlineStr">
        <is>
          <t>Prospect</t>
        </is>
      </c>
      <c r="E274" s="6" t="inlineStr">
        <is>
          <t>Visit / Prospect</t>
        </is>
      </c>
      <c r="F274" s="6" t="n">
        <v>9</v>
      </c>
      <c r="G274" s="6" t="n">
        <v>0</v>
      </c>
      <c r="H274" s="6" t="inlineStr">
        <is>
          <t>0</t>
        </is>
      </c>
      <c r="I274" s="6" t="inlineStr">
        <is>
          <t>0</t>
        </is>
      </c>
      <c r="J274" s="6" t="inlineStr"/>
      <c r="K274" s="6" t="inlineStr">
        <is>
          <t>2025-04-24</t>
        </is>
      </c>
      <c r="L274" s="6" t="inlineStr">
        <is>
          <t>448</t>
        </is>
      </c>
      <c r="M274" s="6" t="n">
        <v/>
      </c>
      <c r="N274" s="6" t="inlineStr">
        <is>
          <t>45</t>
        </is>
      </c>
      <c r="O274" s="6" t="inlineStr">
        <is>
          <t>C-D22</t>
        </is>
      </c>
      <c r="P274" s="6" t="inlineStr">
        <is>
          <t>Flint</t>
        </is>
      </c>
      <c r="Q274" s="6" t="inlineStr">
        <is>
          <t>4466 W. Bristol Rd, Flint, MI, 48507</t>
        </is>
      </c>
      <c r="R274" s="6" t="inlineStr"/>
      <c r="S274" s="6" t="inlineStr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</row>
    <row r="275">
      <c r="A275" s="6" t="inlineStr">
        <is>
          <t>Greater Michigan Orthopedics</t>
        </is>
      </c>
      <c r="B275" s="6" t="inlineStr">
        <is>
          <t>4b39f47f-6abb-45b1-8b68-a52d1217f9c1</t>
        </is>
      </c>
      <c r="C275" s="6" t="inlineStr">
        <is>
          <t>Orthopedic</t>
        </is>
      </c>
      <c r="D275" s="6" t="inlineStr">
        <is>
          <t>Prospect</t>
        </is>
      </c>
      <c r="E275" s="6" t="inlineStr">
        <is>
          <t>Visit / Prospect</t>
        </is>
      </c>
      <c r="F275" s="6" t="n">
        <v>9</v>
      </c>
      <c r="G275" s="6" t="n">
        <v>0</v>
      </c>
      <c r="H275" s="6" t="inlineStr">
        <is>
          <t>0</t>
        </is>
      </c>
      <c r="I275" s="6" t="inlineStr">
        <is>
          <t>0</t>
        </is>
      </c>
      <c r="J275" s="6" t="inlineStr"/>
      <c r="K275" s="6" t="inlineStr">
        <is>
          <t>2025-05-05</t>
        </is>
      </c>
      <c r="L275" s="6" t="inlineStr">
        <is>
          <t>437</t>
        </is>
      </c>
      <c r="M275" s="6" t="n">
        <v/>
      </c>
      <c r="N275" s="6" t="inlineStr">
        <is>
          <t>45</t>
        </is>
      </c>
      <c r="O275" s="6" t="inlineStr">
        <is>
          <t>C-D22</t>
        </is>
      </c>
      <c r="P275" s="6" t="inlineStr">
        <is>
          <t>Grand Blanc Township</t>
        </is>
      </c>
      <c r="Q275" s="6" t="inlineStr">
        <is>
          <t>861 Health Park Boulevard, Grand Blanc Township, Michigan, 48439</t>
        </is>
      </c>
      <c r="R275" s="6" t="inlineStr"/>
      <c r="S275" s="6" t="inlineStr">
        <is>
          <t>Possible competitor (Jul 20 rule) → Review for removal</t>
        </is>
      </c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</row>
    <row r="276">
      <c r="A276" s="6" t="inlineStr">
        <is>
          <t>Independence Urgent Care</t>
        </is>
      </c>
      <c r="B276" s="6" t="inlineStr">
        <is>
          <t>15d65642-ae9b-4744-8746-800525bb12a4</t>
        </is>
      </c>
      <c r="C276" s="6" t="inlineStr">
        <is>
          <t>Urgent Care</t>
        </is>
      </c>
      <c r="D276" s="6" t="inlineStr">
        <is>
          <t>Prospect</t>
        </is>
      </c>
      <c r="E276" s="6" t="inlineStr">
        <is>
          <t>Visit / Prospect</t>
        </is>
      </c>
      <c r="F276" s="6" t="n">
        <v>9</v>
      </c>
      <c r="G276" s="6" t="n">
        <v>0</v>
      </c>
      <c r="H276" s="6" t="inlineStr">
        <is>
          <t>0</t>
        </is>
      </c>
      <c r="I276" s="6" t="inlineStr">
        <is>
          <t>0</t>
        </is>
      </c>
      <c r="J276" s="6" t="inlineStr"/>
      <c r="K276" s="6" t="inlineStr">
        <is>
          <t>2026-06-08</t>
        </is>
      </c>
      <c r="L276" s="6" t="inlineStr">
        <is>
          <t>38</t>
        </is>
      </c>
      <c r="M276" s="6" t="n">
        <v/>
      </c>
      <c r="N276" s="6" t="inlineStr">
        <is>
          <t>45</t>
        </is>
      </c>
      <c r="O276" s="6" t="inlineStr">
        <is>
          <t>C-D22</t>
        </is>
      </c>
      <c r="P276" s="6" t="inlineStr">
        <is>
          <t>Clarkston</t>
        </is>
      </c>
      <c r="Q276" s="6" t="inlineStr">
        <is>
          <t>7192 N Main St, Clarkston, Michigan, 48346</t>
        </is>
      </c>
      <c r="R276" s="6" t="inlineStr"/>
      <c r="S276" s="6" t="inlineStr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</row>
    <row r="277">
      <c r="A277" s="6" t="inlineStr">
        <is>
          <t>Orthopedic Specialists of Oakland County - Clarkston</t>
        </is>
      </c>
      <c r="B277" s="6" t="inlineStr">
        <is>
          <t>b74f4846-fa64-4c4f-a6fe-d3ee8cef5312</t>
        </is>
      </c>
      <c r="C277" s="6" t="inlineStr">
        <is>
          <t>Orthopedic</t>
        </is>
      </c>
      <c r="D277" s="6" t="inlineStr">
        <is>
          <t>Prospect</t>
        </is>
      </c>
      <c r="E277" s="6" t="inlineStr">
        <is>
          <t>Visit / Prospect</t>
        </is>
      </c>
      <c r="F277" s="6" t="n">
        <v>9</v>
      </c>
      <c r="G277" s="6" t="n">
        <v>0</v>
      </c>
      <c r="H277" s="6" t="inlineStr">
        <is>
          <t>0</t>
        </is>
      </c>
      <c r="I277" s="6" t="inlineStr">
        <is>
          <t>0</t>
        </is>
      </c>
      <c r="J277" s="6" t="inlineStr"/>
      <c r="K277" s="6" t="inlineStr">
        <is>
          <t>2024-04-03</t>
        </is>
      </c>
      <c r="L277" s="6" t="inlineStr">
        <is>
          <t>834</t>
        </is>
      </c>
      <c r="M277" s="6" t="n">
        <v/>
      </c>
      <c r="N277" s="6" t="inlineStr">
        <is>
          <t>45</t>
        </is>
      </c>
      <c r="O277" s="6" t="inlineStr">
        <is>
          <t>C-D22</t>
        </is>
      </c>
      <c r="P277" s="6" t="inlineStr">
        <is>
          <t>City of the Village of Clarkston</t>
        </is>
      </c>
      <c r="Q277" s="6" t="inlineStr">
        <is>
          <t>7650 Dixie Hwy, City of the Village of Clarkston, Michigan, 48346</t>
        </is>
      </c>
      <c r="R277" s="6" t="inlineStr"/>
      <c r="S277" s="6" t="inlineStr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</row>
    <row r="278">
      <c r="A278" s="6" t="inlineStr">
        <is>
          <t>HARTLAND PEDIATRICS</t>
        </is>
      </c>
      <c r="B278" s="6" t="inlineStr">
        <is>
          <t>9e86ca6f-890b-4eaa-9974-d1f7c4f09a2c</t>
        </is>
      </c>
      <c r="C278" s="6" t="inlineStr">
        <is>
          <t>Orthopedic</t>
        </is>
      </c>
      <c r="D278" s="6" t="inlineStr">
        <is>
          <t>Prospect</t>
        </is>
      </c>
      <c r="E278" s="6" t="inlineStr">
        <is>
          <t>Visit / Prospect</t>
        </is>
      </c>
      <c r="F278" s="6" t="n">
        <v>9</v>
      </c>
      <c r="G278" s="6" t="n">
        <v>0</v>
      </c>
      <c r="H278" s="6" t="inlineStr">
        <is>
          <t>0</t>
        </is>
      </c>
      <c r="I278" s="6" t="inlineStr">
        <is>
          <t>0</t>
        </is>
      </c>
      <c r="J278" s="6" t="inlineStr"/>
      <c r="K278" s="6" t="inlineStr">
        <is>
          <t>2025-06-05</t>
        </is>
      </c>
      <c r="L278" s="6" t="inlineStr">
        <is>
          <t>406</t>
        </is>
      </c>
      <c r="M278" s="6" t="n">
        <v/>
      </c>
      <c r="N278" s="6" t="inlineStr">
        <is>
          <t>45</t>
        </is>
      </c>
      <c r="O278" s="6" t="inlineStr">
        <is>
          <t>C-D22</t>
        </is>
      </c>
      <c r="P278" s="6" t="inlineStr">
        <is>
          <t>HARTLAND</t>
        </is>
      </c>
      <c r="Q278" s="6" t="inlineStr">
        <is>
          <t>10850 HIGHLAND RD, HARTLAND, Michigan</t>
        </is>
      </c>
      <c r="R278" s="6" t="inlineStr"/>
      <c r="S278" s="6" t="inlineStr">
        <is>
          <t>Pediatric (Jul 20 rule) → Review for removal</t>
        </is>
      </c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</row>
    <row r="279">
      <c r="A279" s="6" t="inlineStr">
        <is>
          <t>Great Lakes Medicine</t>
        </is>
      </c>
      <c r="B279" s="6" t="inlineStr">
        <is>
          <t>a29bc662-1f09-48ea-a1f5-efe24cc01eeb</t>
        </is>
      </c>
      <c r="C279" s="6" t="inlineStr">
        <is>
          <t>ER / Hospital</t>
        </is>
      </c>
      <c r="D279" s="6" t="inlineStr">
        <is>
          <t>Prospect</t>
        </is>
      </c>
      <c r="E279" s="6" t="inlineStr">
        <is>
          <t>Visit / Prospect</t>
        </is>
      </c>
      <c r="F279" s="6" t="n">
        <v>9</v>
      </c>
      <c r="G279" s="6" t="n">
        <v>0</v>
      </c>
      <c r="H279" s="6" t="inlineStr">
        <is>
          <t>0</t>
        </is>
      </c>
      <c r="I279" s="6" t="inlineStr">
        <is>
          <t>0</t>
        </is>
      </c>
      <c r="J279" s="6" t="inlineStr"/>
      <c r="K279" s="6" t="inlineStr">
        <is>
          <t>2026-05-20</t>
        </is>
      </c>
      <c r="L279" s="6" t="inlineStr">
        <is>
          <t>57</t>
        </is>
      </c>
      <c r="M279" s="6" t="n">
        <v/>
      </c>
      <c r="N279" s="6" t="inlineStr">
        <is>
          <t>45</t>
        </is>
      </c>
      <c r="O279" s="6" t="inlineStr">
        <is>
          <t>C-D23</t>
        </is>
      </c>
      <c r="P279" s="6" t="inlineStr">
        <is>
          <t>Shelby Twp</t>
        </is>
      </c>
      <c r="Q279" s="6" t="inlineStr">
        <is>
          <t>50505 Schoenherr Rd # 340, Shelby Twp, MI, 48315</t>
        </is>
      </c>
      <c r="R279" s="6" t="inlineStr"/>
      <c r="S279" s="6" t="inlineStr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</row>
    <row r="280">
      <c r="A280" s="6" t="inlineStr">
        <is>
          <t>Revolution Wellness</t>
        </is>
      </c>
      <c r="B280" s="6" t="inlineStr">
        <is>
          <t>3bfd16c2-8d66-4fed-9ad2-cc715dfd2eb8</t>
        </is>
      </c>
      <c r="C280" s="6" t="inlineStr">
        <is>
          <t>PCP</t>
        </is>
      </c>
      <c r="D280" s="6" t="inlineStr">
        <is>
          <t>Prospect</t>
        </is>
      </c>
      <c r="E280" s="6" t="inlineStr">
        <is>
          <t>Visit / Prospect</t>
        </is>
      </c>
      <c r="F280" s="6" t="n">
        <v>9</v>
      </c>
      <c r="G280" s="6" t="n">
        <v>0</v>
      </c>
      <c r="H280" s="6" t="inlineStr">
        <is>
          <t>0</t>
        </is>
      </c>
      <c r="I280" s="6" t="inlineStr">
        <is>
          <t>0</t>
        </is>
      </c>
      <c r="J280" s="6" t="inlineStr"/>
      <c r="K280" s="6" t="inlineStr">
        <is>
          <t>2026-06-23</t>
        </is>
      </c>
      <c r="L280" s="6" t="inlineStr">
        <is>
          <t>23</t>
        </is>
      </c>
      <c r="M280" s="6" t="n">
        <v/>
      </c>
      <c r="N280" s="6" t="inlineStr">
        <is>
          <t>45</t>
        </is>
      </c>
      <c r="O280" s="6" t="inlineStr">
        <is>
          <t>C-D23</t>
        </is>
      </c>
      <c r="P280" s="6" t="inlineStr">
        <is>
          <t>Utica</t>
        </is>
      </c>
      <c r="Q280" s="6" t="inlineStr">
        <is>
          <t>51850 dequindre rd, Utica, Michigan, 48317</t>
        </is>
      </c>
      <c r="R280" s="6" t="inlineStr"/>
      <c r="S280" s="6" t="inlineStr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</row>
    <row r="281">
      <c r="A281" s="6" t="inlineStr">
        <is>
          <t>Michigan Center For Regenerative Medicine</t>
        </is>
      </c>
      <c r="B281" s="6" t="inlineStr">
        <is>
          <t>390949bb-260d-424c-a141-c134cab0ae6f</t>
        </is>
      </c>
      <c r="C281" s="6" t="inlineStr">
        <is>
          <t>Pain</t>
        </is>
      </c>
      <c r="D281" s="6" t="inlineStr">
        <is>
          <t>Prospect</t>
        </is>
      </c>
      <c r="E281" s="6" t="inlineStr">
        <is>
          <t>Visit / Prospect</t>
        </is>
      </c>
      <c r="F281" s="6" t="n">
        <v>9</v>
      </c>
      <c r="G281" s="6" t="n">
        <v>0</v>
      </c>
      <c r="H281" s="6" t="inlineStr">
        <is>
          <t>0</t>
        </is>
      </c>
      <c r="I281" s="6" t="inlineStr">
        <is>
          <t>0</t>
        </is>
      </c>
      <c r="J281" s="6" t="inlineStr"/>
      <c r="K281" s="6" t="inlineStr">
        <is>
          <t>2025-04-07</t>
        </is>
      </c>
      <c r="L281" s="6" t="inlineStr">
        <is>
          <t>465</t>
        </is>
      </c>
      <c r="M281" s="6" t="n">
        <v/>
      </c>
      <c r="N281" s="6" t="inlineStr">
        <is>
          <t>45</t>
        </is>
      </c>
      <c r="O281" s="6" t="inlineStr">
        <is>
          <t>C-D24</t>
        </is>
      </c>
      <c r="P281" s="6" t="inlineStr">
        <is>
          <t>Rochester</t>
        </is>
      </c>
      <c r="Q281" s="6" t="inlineStr">
        <is>
          <t>355 Barclay, Rochester, Michigan, 48307</t>
        </is>
      </c>
      <c r="R281" s="6" t="inlineStr"/>
      <c r="S281" s="6" t="inlineStr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</row>
    <row r="282">
      <c r="A282" s="6" t="inlineStr">
        <is>
          <t>Rochester Hills Orthopedics &amp; Sports Medicine</t>
        </is>
      </c>
      <c r="B282" s="6" t="inlineStr">
        <is>
          <t>1477658458</t>
        </is>
      </c>
      <c r="C282" s="6" t="inlineStr">
        <is>
          <t>Orthopedic</t>
        </is>
      </c>
      <c r="D282" s="6" t="inlineStr">
        <is>
          <t>Prospect</t>
        </is>
      </c>
      <c r="E282" s="6" t="inlineStr">
        <is>
          <t>Visit / Prospect</t>
        </is>
      </c>
      <c r="F282" s="6" t="n">
        <v>9</v>
      </c>
      <c r="G282" s="6" t="n">
        <v>0</v>
      </c>
      <c r="H282" s="6" t="inlineStr">
        <is>
          <t>0</t>
        </is>
      </c>
      <c r="I282" s="6" t="inlineStr">
        <is>
          <t>0</t>
        </is>
      </c>
      <c r="J282" s="6" t="inlineStr"/>
      <c r="K282" s="6" t="inlineStr">
        <is>
          <t>2025-05-05</t>
        </is>
      </c>
      <c r="L282" s="6" t="inlineStr">
        <is>
          <t>437</t>
        </is>
      </c>
      <c r="M282" s="6" t="n">
        <v/>
      </c>
      <c r="N282" s="6" t="inlineStr">
        <is>
          <t>45</t>
        </is>
      </c>
      <c r="O282" s="6" t="inlineStr">
        <is>
          <t>C-D24</t>
        </is>
      </c>
      <c r="P282" s="6" t="inlineStr">
        <is>
          <t>Rochester Hills</t>
        </is>
      </c>
      <c r="Q282" s="6" t="inlineStr">
        <is>
          <t>1349 South Rochester Road, ste 205, Rochester Hills, Michigan, 48307</t>
        </is>
      </c>
      <c r="R282" s="6" t="inlineStr"/>
      <c r="S282" s="6" t="inlineStr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</row>
    <row r="283">
      <c r="A283" s="6" t="inlineStr">
        <is>
          <t>Balanced Living Chiropractic</t>
        </is>
      </c>
      <c r="B283" s="6" t="inlineStr">
        <is>
          <t>9b89a7a8-da80-4dca-b2b1-c0ea3569c950</t>
        </is>
      </c>
      <c r="C283" s="6" t="inlineStr">
        <is>
          <t>Chiropractor</t>
        </is>
      </c>
      <c r="D283" s="6" t="inlineStr">
        <is>
          <t>Prospect</t>
        </is>
      </c>
      <c r="E283" s="6" t="inlineStr">
        <is>
          <t>Visit / Prospect</t>
        </is>
      </c>
      <c r="F283" s="6" t="n">
        <v>9</v>
      </c>
      <c r="G283" s="6" t="n">
        <v>0</v>
      </c>
      <c r="H283" s="6" t="inlineStr">
        <is>
          <t>0</t>
        </is>
      </c>
      <c r="I283" s="6" t="inlineStr">
        <is>
          <t>0</t>
        </is>
      </c>
      <c r="J283" s="6" t="inlineStr"/>
      <c r="K283" s="6" t="inlineStr">
        <is>
          <t>2026-04-29</t>
        </is>
      </c>
      <c r="L283" s="6" t="inlineStr">
        <is>
          <t>78</t>
        </is>
      </c>
      <c r="M283" s="6" t="n">
        <v/>
      </c>
      <c r="N283" s="6" t="inlineStr">
        <is>
          <t>45</t>
        </is>
      </c>
      <c r="O283" s="6" t="inlineStr">
        <is>
          <t>C-D24</t>
        </is>
      </c>
      <c r="P283" s="6" t="inlineStr">
        <is>
          <t>Rochester Hills</t>
        </is>
      </c>
      <c r="Q283" s="6" t="inlineStr">
        <is>
          <t>441 S Livernois Rd, Rochester Hills, Michigan, 48307</t>
        </is>
      </c>
      <c r="R283" s="6" t="inlineStr"/>
      <c r="S283" s="6" t="inlineStr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</row>
    <row r="284">
      <c r="A284" s="6" t="inlineStr">
        <is>
          <t>Michigan Brain &amp; Spine - Warren</t>
        </is>
      </c>
      <c r="B284" s="6" t="inlineStr">
        <is>
          <t>c2e9f4c4-65ff-4730-abe0-7f210be0bf8f</t>
        </is>
      </c>
      <c r="C284" s="6" t="inlineStr">
        <is>
          <t>Orthopedic</t>
        </is>
      </c>
      <c r="D284" s="6" t="inlineStr">
        <is>
          <t>Prospect</t>
        </is>
      </c>
      <c r="E284" s="6" t="inlineStr">
        <is>
          <t>Visit / Prospect</t>
        </is>
      </c>
      <c r="F284" s="6" t="n">
        <v>9</v>
      </c>
      <c r="G284" s="6" t="n">
        <v>0</v>
      </c>
      <c r="H284" s="6" t="inlineStr">
        <is>
          <t>0</t>
        </is>
      </c>
      <c r="I284" s="6" t="inlineStr">
        <is>
          <t>0</t>
        </is>
      </c>
      <c r="J284" s="6" t="inlineStr"/>
      <c r="K284" s="6" t="inlineStr">
        <is>
          <t>2026-01-15</t>
        </is>
      </c>
      <c r="L284" s="6" t="inlineStr">
        <is>
          <t>182</t>
        </is>
      </c>
      <c r="M284" s="6" t="n">
        <v/>
      </c>
      <c r="N284" s="6" t="inlineStr">
        <is>
          <t>45</t>
        </is>
      </c>
      <c r="O284" s="6" t="inlineStr">
        <is>
          <t>C-D25</t>
        </is>
      </c>
      <c r="P284" s="6" t="inlineStr">
        <is>
          <t>Warren</t>
        </is>
      </c>
      <c r="Q284" s="6" t="inlineStr">
        <is>
          <t>11900 Twelve Mile Rd ste 206, Warren, Michigan, 48093</t>
        </is>
      </c>
      <c r="R284" s="6" t="inlineStr"/>
      <c r="S284" s="6" t="inlineStr">
        <is>
          <t>Ortho group w/ in-house spine? verify (Jul 20 rule) → Review for removal</t>
        </is>
      </c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</row>
    <row r="285">
      <c r="A285" s="6" t="inlineStr">
        <is>
          <t>LMT Rehabilitation Associates - Troy</t>
        </is>
      </c>
      <c r="B285" s="6" t="inlineStr">
        <is>
          <t>7c9505b8-9a32-47d6-a489-6171ce848c9e</t>
        </is>
      </c>
      <c r="C285" s="6" t="inlineStr">
        <is>
          <t>Orthopedic</t>
        </is>
      </c>
      <c r="D285" s="6" t="inlineStr">
        <is>
          <t>Prospect</t>
        </is>
      </c>
      <c r="E285" s="6" t="inlineStr">
        <is>
          <t>Visit / Prospect</t>
        </is>
      </c>
      <c r="F285" s="6" t="n">
        <v>9</v>
      </c>
      <c r="G285" s="6" t="n">
        <v>0</v>
      </c>
      <c r="H285" s="6" t="inlineStr">
        <is>
          <t>0</t>
        </is>
      </c>
      <c r="I285" s="6" t="inlineStr">
        <is>
          <t>0</t>
        </is>
      </c>
      <c r="J285" s="6" t="inlineStr"/>
      <c r="K285" s="6" t="inlineStr">
        <is>
          <t>2025-10-16</t>
        </is>
      </c>
      <c r="L285" s="6" t="inlineStr">
        <is>
          <t>273</t>
        </is>
      </c>
      <c r="M285" s="6" t="n">
        <v/>
      </c>
      <c r="N285" s="6" t="inlineStr">
        <is>
          <t>45</t>
        </is>
      </c>
      <c r="O285" s="6" t="inlineStr">
        <is>
          <t>C-D26</t>
        </is>
      </c>
      <c r="P285" s="6" t="inlineStr">
        <is>
          <t>Troy</t>
        </is>
      </c>
      <c r="Q285" s="6" t="inlineStr">
        <is>
          <t>4600 Investment Dr ste 180, Troy, Michigan, 48098</t>
        </is>
      </c>
      <c r="R285" s="6" t="inlineStr"/>
      <c r="S285" s="6" t="inlineStr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</row>
    <row r="286">
      <c r="A286" s="6" t="inlineStr">
        <is>
          <t>Michigan Internal Medicine &amp; Cardiology Associates</t>
        </is>
      </c>
      <c r="B286" s="6" t="inlineStr">
        <is>
          <t>b81f18a9-01d3-4fd7-a6a3-ce068be637b7</t>
        </is>
      </c>
      <c r="C286" s="6" t="inlineStr">
        <is>
          <t>PCP</t>
        </is>
      </c>
      <c r="D286" s="6" t="inlineStr">
        <is>
          <t>Prospect</t>
        </is>
      </c>
      <c r="E286" s="6" t="inlineStr">
        <is>
          <t>Visit / Prospect</t>
        </is>
      </c>
      <c r="F286" s="6" t="n">
        <v>9</v>
      </c>
      <c r="G286" s="6" t="n">
        <v>0</v>
      </c>
      <c r="H286" s="6" t="inlineStr">
        <is>
          <t>0</t>
        </is>
      </c>
      <c r="I286" s="6" t="inlineStr">
        <is>
          <t>0</t>
        </is>
      </c>
      <c r="J286" s="6" t="inlineStr"/>
      <c r="K286" s="6" t="inlineStr">
        <is>
          <t>2026-06-05</t>
        </is>
      </c>
      <c r="L286" s="6" t="inlineStr">
        <is>
          <t>41</t>
        </is>
      </c>
      <c r="M286" s="6" t="n">
        <v/>
      </c>
      <c r="N286" s="6" t="inlineStr">
        <is>
          <t>45</t>
        </is>
      </c>
      <c r="O286" s="6" t="inlineStr">
        <is>
          <t>C-D26</t>
        </is>
      </c>
      <c r="P286" s="6" t="inlineStr">
        <is>
          <t>Auburn Hills</t>
        </is>
      </c>
      <c r="Q286" s="6" t="inlineStr">
        <is>
          <t>2191 South Blvd ste 101a, Auburn Hills, Michigan, 48326</t>
        </is>
      </c>
      <c r="R286" s="6" t="inlineStr"/>
      <c r="S286" s="6" t="inlineStr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</row>
    <row r="287">
      <c r="A287" s="6" t="inlineStr">
        <is>
          <t>DEVYANI KHAMBETE, MD, PC</t>
        </is>
      </c>
      <c r="B287" s="6" t="inlineStr">
        <is>
          <t>c48a8a2e-4d60-4a18-8000-3f3dea9cf03a</t>
        </is>
      </c>
      <c r="C287" s="6" t="inlineStr">
        <is>
          <t>Orthopedic</t>
        </is>
      </c>
      <c r="D287" s="6" t="inlineStr">
        <is>
          <t>Prospect</t>
        </is>
      </c>
      <c r="E287" s="6" t="inlineStr">
        <is>
          <t>Visit / Prospect</t>
        </is>
      </c>
      <c r="F287" s="6" t="n">
        <v>9</v>
      </c>
      <c r="G287" s="6" t="n">
        <v>0</v>
      </c>
      <c r="H287" s="6" t="inlineStr">
        <is>
          <t>0</t>
        </is>
      </c>
      <c r="I287" s="6" t="inlineStr">
        <is>
          <t>0</t>
        </is>
      </c>
      <c r="J287" s="6" t="inlineStr"/>
      <c r="K287" s="6" t="inlineStr">
        <is>
          <t>2025-06-06</t>
        </is>
      </c>
      <c r="L287" s="6" t="inlineStr">
        <is>
          <t>405</t>
        </is>
      </c>
      <c r="M287" s="6" t="n">
        <v/>
      </c>
      <c r="N287" s="6" t="inlineStr">
        <is>
          <t>45</t>
        </is>
      </c>
      <c r="O287" s="6" t="inlineStr">
        <is>
          <t>C-D26</t>
        </is>
      </c>
      <c r="P287" s="6" t="inlineStr">
        <is>
          <t>WATERFORD</t>
        </is>
      </c>
      <c r="Q287" s="6" t="inlineStr">
        <is>
          <t>2561 ELIZABETH LAKE RD, WATERFORD, Michigan</t>
        </is>
      </c>
      <c r="R287" s="6" t="inlineStr"/>
      <c r="S287" s="6" t="inlineStr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</row>
    <row r="288">
      <c r="A288" s="6" t="inlineStr">
        <is>
          <t>McLaren Center for Spine &amp; Pain Management</t>
        </is>
      </c>
      <c r="B288" s="6" t="inlineStr">
        <is>
          <t>ff09ce61-5da4-4d5d-9ae6-7b9215731ce9</t>
        </is>
      </c>
      <c r="C288" s="6" t="inlineStr">
        <is>
          <t>Pain</t>
        </is>
      </c>
      <c r="D288" s="6" t="inlineStr">
        <is>
          <t>Prospect</t>
        </is>
      </c>
      <c r="E288" s="6" t="inlineStr">
        <is>
          <t>Visit / Prospect</t>
        </is>
      </c>
      <c r="F288" s="6" t="n">
        <v>9</v>
      </c>
      <c r="G288" s="6" t="n">
        <v>0</v>
      </c>
      <c r="H288" s="6" t="inlineStr">
        <is>
          <t>0</t>
        </is>
      </c>
      <c r="I288" s="6" t="inlineStr">
        <is>
          <t>0</t>
        </is>
      </c>
      <c r="J288" s="6" t="inlineStr"/>
      <c r="K288" s="6" t="inlineStr">
        <is>
          <t>2026-03-19</t>
        </is>
      </c>
      <c r="L288" s="6" t="inlineStr">
        <is>
          <t>119</t>
        </is>
      </c>
      <c r="M288" s="6" t="n">
        <v/>
      </c>
      <c r="N288" s="6" t="inlineStr">
        <is>
          <t>45</t>
        </is>
      </c>
      <c r="O288" s="6" t="inlineStr">
        <is>
          <t>C-D27</t>
        </is>
      </c>
      <c r="P288" s="6" t="inlineStr">
        <is>
          <t>Clinton Township</t>
        </is>
      </c>
      <c r="Q288" s="6" t="inlineStr">
        <is>
          <t>21510 Harrington St suite 203, Clinton Township, Michigan, 48036</t>
        </is>
      </c>
      <c r="R288" s="6" t="inlineStr"/>
      <c r="S288" s="6" t="inlineStr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</row>
    <row r="289">
      <c r="A289" s="6" t="inlineStr">
        <is>
          <t>Center for Orthopedic Surgery</t>
        </is>
      </c>
      <c r="B289" s="6" t="inlineStr">
        <is>
          <t>860f31e0-1a7c-49eb-a6ce-f5a3914936ba</t>
        </is>
      </c>
      <c r="C289" s="6" t="inlineStr">
        <is>
          <t>Orthopedic</t>
        </is>
      </c>
      <c r="D289" s="6" t="inlineStr">
        <is>
          <t>Prospect</t>
        </is>
      </c>
      <c r="E289" s="6" t="inlineStr">
        <is>
          <t>Visit / Prospect</t>
        </is>
      </c>
      <c r="F289" s="6" t="n">
        <v>9</v>
      </c>
      <c r="G289" s="6" t="n">
        <v>0</v>
      </c>
      <c r="H289" s="6" t="inlineStr">
        <is>
          <t>0</t>
        </is>
      </c>
      <c r="I289" s="6" t="inlineStr">
        <is>
          <t>0</t>
        </is>
      </c>
      <c r="J289" s="6" t="inlineStr"/>
      <c r="K289" s="6" t="inlineStr">
        <is>
          <t>2026-03-26</t>
        </is>
      </c>
      <c r="L289" s="6" t="inlineStr">
        <is>
          <t>112</t>
        </is>
      </c>
      <c r="M289" s="6" t="n">
        <v/>
      </c>
      <c r="N289" s="6" t="inlineStr">
        <is>
          <t>45</t>
        </is>
      </c>
      <c r="O289" s="6" t="inlineStr">
        <is>
          <t>C-D27</t>
        </is>
      </c>
      <c r="P289" s="6" t="inlineStr">
        <is>
          <t>Clinton Township</t>
        </is>
      </c>
      <c r="Q289" s="6" t="inlineStr">
        <is>
          <t>21510 Harrington St suite 101, Clinton Township, Michigan, 48036</t>
        </is>
      </c>
      <c r="R289" s="6" t="inlineStr"/>
      <c r="S289" s="6" t="inlineStr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</row>
    <row r="290">
      <c r="A290" s="6" t="inlineStr">
        <is>
          <t>Multi-Specialty Clinic</t>
        </is>
      </c>
      <c r="B290" s="6" t="inlineStr">
        <is>
          <t>3e4366b5-b245-4073-9f53-025f25b5446f</t>
        </is>
      </c>
      <c r="C290" s="6" t="inlineStr">
        <is>
          <t>PCP</t>
        </is>
      </c>
      <c r="D290" s="6" t="inlineStr">
        <is>
          <t>Prospect</t>
        </is>
      </c>
      <c r="E290" s="6" t="inlineStr">
        <is>
          <t>Visit / Prospect</t>
        </is>
      </c>
      <c r="F290" s="6" t="n">
        <v>9</v>
      </c>
      <c r="G290" s="6" t="n">
        <v>0</v>
      </c>
      <c r="H290" s="6" t="inlineStr">
        <is>
          <t>0</t>
        </is>
      </c>
      <c r="I290" s="6" t="inlineStr">
        <is>
          <t>0</t>
        </is>
      </c>
      <c r="J290" s="6" t="inlineStr"/>
      <c r="K290" s="6" t="inlineStr">
        <is>
          <t>2026-06-16</t>
        </is>
      </c>
      <c r="L290" s="6" t="inlineStr">
        <is>
          <t>30</t>
        </is>
      </c>
      <c r="M290" s="6" t="n">
        <v/>
      </c>
      <c r="N290" s="6" t="inlineStr">
        <is>
          <t>45</t>
        </is>
      </c>
      <c r="O290" s="6" t="inlineStr">
        <is>
          <t>C-D27</t>
        </is>
      </c>
      <c r="P290" s="6" t="inlineStr">
        <is>
          <t>Clinton Township</t>
        </is>
      </c>
      <c r="Q290" s="6" t="inlineStr">
        <is>
          <t>36500 Gratiot Ave suite 102, Clinton Township, Michigan, 48035</t>
        </is>
      </c>
      <c r="R290" s="6" t="inlineStr"/>
      <c r="S290" s="6" t="inlineStr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</row>
    <row r="291">
      <c r="A291" s="6" t="inlineStr">
        <is>
          <t>McLaren Macomb Family First</t>
        </is>
      </c>
      <c r="B291" s="6" t="inlineStr">
        <is>
          <t>4d131d76-2f91-472e-bf42-c1ae3f5f7622</t>
        </is>
      </c>
      <c r="C291" s="6" t="inlineStr">
        <is>
          <t>PCP</t>
        </is>
      </c>
      <c r="D291" s="6" t="inlineStr">
        <is>
          <t>Prospect</t>
        </is>
      </c>
      <c r="E291" s="6" t="inlineStr">
        <is>
          <t>Visit / Prospect</t>
        </is>
      </c>
      <c r="F291" s="6" t="n">
        <v>9</v>
      </c>
      <c r="G291" s="6" t="n">
        <v>0</v>
      </c>
      <c r="H291" s="6" t="inlineStr">
        <is>
          <t>0</t>
        </is>
      </c>
      <c r="I291" s="6" t="inlineStr">
        <is>
          <t>0</t>
        </is>
      </c>
      <c r="J291" s="6" t="inlineStr"/>
      <c r="K291" s="6" t="inlineStr">
        <is>
          <t>2026-06-16</t>
        </is>
      </c>
      <c r="L291" s="6" t="inlineStr">
        <is>
          <t>30</t>
        </is>
      </c>
      <c r="M291" s="6" t="n">
        <v/>
      </c>
      <c r="N291" s="6" t="inlineStr">
        <is>
          <t>45</t>
        </is>
      </c>
      <c r="O291" s="6" t="inlineStr">
        <is>
          <t>C-D27</t>
        </is>
      </c>
      <c r="P291" s="6" t="inlineStr">
        <is>
          <t>Clinton Township</t>
        </is>
      </c>
      <c r="Q291" s="6" t="inlineStr">
        <is>
          <t>36500 Gratiot Ave #202, Clinton Township, Michigan, 48035</t>
        </is>
      </c>
      <c r="R291" s="6" t="inlineStr"/>
      <c r="S291" s="6" t="inlineStr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</row>
    <row r="292">
      <c r="A292" s="6" t="inlineStr">
        <is>
          <t>Ernest Chiodo MD</t>
        </is>
      </c>
      <c r="B292" s="6" t="inlineStr">
        <is>
          <t>f5b10e96-2444-4c72-b938-1004495c7ee3</t>
        </is>
      </c>
      <c r="C292" s="6" t="inlineStr">
        <is>
          <t>PCP</t>
        </is>
      </c>
      <c r="D292" s="6" t="inlineStr">
        <is>
          <t>Prospect</t>
        </is>
      </c>
      <c r="E292" s="6" t="inlineStr">
        <is>
          <t>Visit / Prospect</t>
        </is>
      </c>
      <c r="F292" s="6" t="n">
        <v>9</v>
      </c>
      <c r="G292" s="6" t="n">
        <v>0</v>
      </c>
      <c r="H292" s="6" t="inlineStr">
        <is>
          <t>0</t>
        </is>
      </c>
      <c r="I292" s="6" t="inlineStr">
        <is>
          <t>0</t>
        </is>
      </c>
      <c r="J292" s="6" t="inlineStr"/>
      <c r="K292" s="6" t="inlineStr">
        <is>
          <t>2026-06-16</t>
        </is>
      </c>
      <c r="L292" s="6" t="inlineStr">
        <is>
          <t>30</t>
        </is>
      </c>
      <c r="M292" s="6" t="n">
        <v/>
      </c>
      <c r="N292" s="6" t="inlineStr">
        <is>
          <t>45</t>
        </is>
      </c>
      <c r="O292" s="6" t="inlineStr">
        <is>
          <t>C-D27</t>
        </is>
      </c>
      <c r="P292" s="6" t="inlineStr">
        <is>
          <t>CLINTON TOWNSHIP</t>
        </is>
      </c>
      <c r="Q292" s="6" t="inlineStr">
        <is>
          <t>35770 HARPER AVE, CLINTON TOWNSHIP, MI, 48035</t>
        </is>
      </c>
      <c r="R292" s="6" t="inlineStr"/>
      <c r="S292" s="6" t="inlineStr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</row>
    <row r="293">
      <c r="A293" s="6" t="inlineStr">
        <is>
          <t>Michigan Neurology Associates - Clinton Township</t>
        </is>
      </c>
      <c r="B293" s="6" t="inlineStr">
        <is>
          <t>Ascension St. John Hospital�and�Beaumont Hospital-Dearborn</t>
        </is>
      </c>
      <c r="C293" s="6" t="inlineStr">
        <is>
          <t>Pain</t>
        </is>
      </c>
      <c r="D293" s="6" t="inlineStr">
        <is>
          <t>Prospect</t>
        </is>
      </c>
      <c r="E293" s="6" t="inlineStr">
        <is>
          <t>Visit / Prospect</t>
        </is>
      </c>
      <c r="F293" s="6" t="n">
        <v>9</v>
      </c>
      <c r="G293" s="6" t="n">
        <v>0</v>
      </c>
      <c r="H293" s="6" t="inlineStr">
        <is>
          <t>0</t>
        </is>
      </c>
      <c r="I293" s="6" t="inlineStr">
        <is>
          <t>0</t>
        </is>
      </c>
      <c r="J293" s="6" t="inlineStr"/>
      <c r="K293" s="6" t="inlineStr">
        <is>
          <t>2025-04-03</t>
        </is>
      </c>
      <c r="L293" s="6" t="inlineStr">
        <is>
          <t>469</t>
        </is>
      </c>
      <c r="M293" s="6" t="n">
        <v/>
      </c>
      <c r="N293" s="6" t="inlineStr">
        <is>
          <t>45</t>
        </is>
      </c>
      <c r="O293" s="6" t="inlineStr">
        <is>
          <t>C-D27</t>
        </is>
      </c>
      <c r="P293" s="6" t="inlineStr">
        <is>
          <t>Clinton Township</t>
        </is>
      </c>
      <c r="Q293" s="6" t="inlineStr">
        <is>
          <t>34025 Harper, Clinton Township, MI, 48035</t>
        </is>
      </c>
      <c r="R293" s="6" t="inlineStr"/>
      <c r="S293" s="6" t="inlineStr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</row>
    <row r="294">
      <c r="A294" s="6" t="inlineStr">
        <is>
          <t>Clarkston Internal Medicine</t>
        </is>
      </c>
      <c r="B294" s="6" t="inlineStr">
        <is>
          <t>ee3a65be-8491-4075-a06b-3a17b7545316</t>
        </is>
      </c>
      <c r="C294" s="6" t="inlineStr">
        <is>
          <t>PCP</t>
        </is>
      </c>
      <c r="D294" s="6" t="inlineStr">
        <is>
          <t>Prospect</t>
        </is>
      </c>
      <c r="E294" s="6" t="inlineStr">
        <is>
          <t>Visit / Prospect</t>
        </is>
      </c>
      <c r="F294" s="6" t="n">
        <v>9</v>
      </c>
      <c r="G294" s="6" t="n">
        <v>0</v>
      </c>
      <c r="H294" s="6" t="inlineStr">
        <is>
          <t>0</t>
        </is>
      </c>
      <c r="I294" s="6" t="inlineStr">
        <is>
          <t>0</t>
        </is>
      </c>
      <c r="J294" s="6" t="inlineStr"/>
      <c r="K294" s="6" t="inlineStr">
        <is>
          <t>2026-06-08</t>
        </is>
      </c>
      <c r="L294" s="6" t="inlineStr">
        <is>
          <t>38</t>
        </is>
      </c>
      <c r="M294" s="6" t="n">
        <v/>
      </c>
      <c r="N294" s="6" t="inlineStr">
        <is>
          <t>45</t>
        </is>
      </c>
      <c r="O294" s="6" t="inlineStr">
        <is>
          <t>C-D28</t>
        </is>
      </c>
      <c r="P294" s="6" t="inlineStr">
        <is>
          <t>Clarkston</t>
        </is>
      </c>
      <c r="Q294" s="6" t="inlineStr">
        <is>
          <t>7188 N Main St, Clarkston, Michigan, 48346</t>
        </is>
      </c>
      <c r="R294" s="6" t="inlineStr"/>
      <c r="S294" s="6" t="inlineStr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</row>
    <row r="295">
      <c r="A295" s="6" t="inlineStr">
        <is>
          <t>Clarkston Family Medicine</t>
        </is>
      </c>
      <c r="B295" s="6" t="inlineStr">
        <is>
          <t>a34e03bd-5e1f-470d-9d27-0ae0f937dea0</t>
        </is>
      </c>
      <c r="C295" s="6" t="inlineStr">
        <is>
          <t>PCP</t>
        </is>
      </c>
      <c r="D295" s="6" t="inlineStr">
        <is>
          <t>Prospect</t>
        </is>
      </c>
      <c r="E295" s="6" t="inlineStr">
        <is>
          <t>Visit / Prospect</t>
        </is>
      </c>
      <c r="F295" s="6" t="n">
        <v>9</v>
      </c>
      <c r="G295" s="6" t="n">
        <v>0</v>
      </c>
      <c r="H295" s="6" t="inlineStr">
        <is>
          <t>0</t>
        </is>
      </c>
      <c r="I295" s="6" t="inlineStr">
        <is>
          <t>0</t>
        </is>
      </c>
      <c r="J295" s="6" t="inlineStr"/>
      <c r="K295" s="6" t="inlineStr">
        <is>
          <t>2026-06-08</t>
        </is>
      </c>
      <c r="L295" s="6" t="inlineStr">
        <is>
          <t>38</t>
        </is>
      </c>
      <c r="M295" s="6" t="n">
        <v/>
      </c>
      <c r="N295" s="6" t="inlineStr">
        <is>
          <t>45</t>
        </is>
      </c>
      <c r="O295" s="6" t="inlineStr">
        <is>
          <t>C-D28</t>
        </is>
      </c>
      <c r="P295" s="6" t="inlineStr">
        <is>
          <t>City of the Village of Clarkston</t>
        </is>
      </c>
      <c r="Q295" s="6" t="inlineStr">
        <is>
          <t>7250 Dixie Hwy suite 100, City of the Village of Clarkston, Michigan, 48346</t>
        </is>
      </c>
      <c r="R295" s="6" t="inlineStr"/>
      <c r="S295" s="6" t="inlineStr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</row>
    <row r="296">
      <c r="A296" s="6" t="inlineStr">
        <is>
          <t>Clarkston Pain &amp; Rehab</t>
        </is>
      </c>
      <c r="B296" s="6" t="inlineStr">
        <is>
          <t>ce685188-7389-475f-adc2-61a7a28d1072</t>
        </is>
      </c>
      <c r="C296" s="6" t="inlineStr">
        <is>
          <t>Orthopedic</t>
        </is>
      </c>
      <c r="D296" s="6" t="inlineStr">
        <is>
          <t>Prospect</t>
        </is>
      </c>
      <c r="E296" s="6" t="inlineStr">
        <is>
          <t>Visit / Prospect</t>
        </is>
      </c>
      <c r="F296" s="6" t="n">
        <v>9</v>
      </c>
      <c r="G296" s="6" t="n">
        <v>0</v>
      </c>
      <c r="H296" s="6" t="inlineStr">
        <is>
          <t>0</t>
        </is>
      </c>
      <c r="I296" s="6" t="inlineStr">
        <is>
          <t>0</t>
        </is>
      </c>
      <c r="J296" s="6" t="inlineStr"/>
      <c r="K296" s="6" t="inlineStr">
        <is>
          <t>2025-01-30</t>
        </is>
      </c>
      <c r="L296" s="6" t="inlineStr">
        <is>
          <t>532</t>
        </is>
      </c>
      <c r="M296" s="6" t="n">
        <v/>
      </c>
      <c r="N296" s="6" t="inlineStr">
        <is>
          <t>45</t>
        </is>
      </c>
      <c r="O296" s="6" t="inlineStr">
        <is>
          <t>C-D28</t>
        </is>
      </c>
      <c r="P296" s="6" t="inlineStr">
        <is>
          <t>City of the Village of Clarkston</t>
        </is>
      </c>
      <c r="Q296" s="6" t="inlineStr">
        <is>
          <t>6815 Dixie Hwy, City of the Village of Clarkston, Michigan, 48346</t>
        </is>
      </c>
      <c r="R296" s="6" t="inlineStr"/>
      <c r="S296" s="6" t="inlineStr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</row>
    <row r="297">
      <c r="A297" s="6" t="inlineStr">
        <is>
          <t>Oakland Orthopedics &amp; Sports Medicine</t>
        </is>
      </c>
      <c r="B297" s="6" t="inlineStr">
        <is>
          <t>00b31e6d-ea21-435e-8d30-b61cf217c22e</t>
        </is>
      </c>
      <c r="C297" s="6" t="inlineStr">
        <is>
          <t>Orthopedic</t>
        </is>
      </c>
      <c r="D297" s="6" t="inlineStr">
        <is>
          <t>Prospect</t>
        </is>
      </c>
      <c r="E297" s="6" t="inlineStr">
        <is>
          <t>Visit / Prospect</t>
        </is>
      </c>
      <c r="F297" s="6" t="n">
        <v>9</v>
      </c>
      <c r="G297" s="6" t="n">
        <v>0</v>
      </c>
      <c r="H297" s="6" t="inlineStr">
        <is>
          <t>0</t>
        </is>
      </c>
      <c r="I297" s="6" t="inlineStr">
        <is>
          <t>0</t>
        </is>
      </c>
      <c r="J297" s="6" t="inlineStr"/>
      <c r="K297" s="6" t="inlineStr">
        <is>
          <t>2025-07-30</t>
        </is>
      </c>
      <c r="L297" s="6" t="inlineStr">
        <is>
          <t>351</t>
        </is>
      </c>
      <c r="M297" s="6" t="n">
        <v/>
      </c>
      <c r="N297" s="6" t="inlineStr">
        <is>
          <t>45</t>
        </is>
      </c>
      <c r="O297" s="6" t="inlineStr">
        <is>
          <t>C-D28</t>
        </is>
      </c>
      <c r="P297" s="6" t="inlineStr">
        <is>
          <t>CLARKSTON</t>
        </is>
      </c>
      <c r="Q297" s="6" t="inlineStr">
        <is>
          <t>6815 DIXIE HWY STE 1, CLARKSTON, MI, 48346</t>
        </is>
      </c>
      <c r="R297" s="6" t="inlineStr"/>
      <c r="S297" s="6" t="inlineStr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</row>
    <row r="298">
      <c r="A298" s="6" t="inlineStr">
        <is>
          <t>Trinity IHA Primary Care - Clarkston</t>
        </is>
      </c>
      <c r="B298" s="6" t="inlineStr">
        <is>
          <t>36-320-9367</t>
        </is>
      </c>
      <c r="C298" s="6" t="inlineStr">
        <is>
          <t>Pain</t>
        </is>
      </c>
      <c r="D298" s="6" t="inlineStr">
        <is>
          <t>Prospect</t>
        </is>
      </c>
      <c r="E298" s="6" t="inlineStr">
        <is>
          <t>Visit / Prospect</t>
        </is>
      </c>
      <c r="F298" s="6" t="n">
        <v>9</v>
      </c>
      <c r="G298" s="6" t="n">
        <v>0</v>
      </c>
      <c r="H298" s="6" t="inlineStr">
        <is>
          <t>0</t>
        </is>
      </c>
      <c r="I298" s="6" t="inlineStr">
        <is>
          <t>0</t>
        </is>
      </c>
      <c r="J298" s="6" t="inlineStr"/>
      <c r="K298" s="6" t="inlineStr">
        <is>
          <t>2025-07-30</t>
        </is>
      </c>
      <c r="L298" s="6" t="inlineStr">
        <is>
          <t>351</t>
        </is>
      </c>
      <c r="M298" s="6" t="n">
        <v/>
      </c>
      <c r="N298" s="6" t="inlineStr">
        <is>
          <t>45</t>
        </is>
      </c>
      <c r="O298" s="6" t="inlineStr">
        <is>
          <t>C-D28</t>
        </is>
      </c>
      <c r="P298" s="6" t="inlineStr">
        <is>
          <t>Clarkston</t>
        </is>
      </c>
      <c r="Q298" s="6" t="inlineStr">
        <is>
          <t>6770 Dixie Hwy Ste 303, Clarkston, MI, 48346</t>
        </is>
      </c>
      <c r="R298" s="6" t="inlineStr"/>
      <c r="S298" s="6" t="inlineStr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</row>
    <row r="299">
      <c r="A299" s="6" t="inlineStr">
        <is>
          <t>Edward A. Tashjian, MD - Clarkston</t>
        </is>
      </c>
      <c r="B299" s="6" t="inlineStr">
        <is>
          <t>54898915-220c-4900-ba07-febdcdb005c0</t>
        </is>
      </c>
      <c r="C299" s="6" t="inlineStr">
        <is>
          <t>Orthopedic</t>
        </is>
      </c>
      <c r="D299" s="6" t="inlineStr">
        <is>
          <t>Prospect</t>
        </is>
      </c>
      <c r="E299" s="6" t="inlineStr">
        <is>
          <t>Visit / Prospect</t>
        </is>
      </c>
      <c r="F299" s="6" t="n">
        <v>9</v>
      </c>
      <c r="G299" s="6" t="n">
        <v>0</v>
      </c>
      <c r="H299" s="6" t="inlineStr">
        <is>
          <t>0</t>
        </is>
      </c>
      <c r="I299" s="6" t="inlineStr">
        <is>
          <t>0</t>
        </is>
      </c>
      <c r="J299" s="6" t="inlineStr"/>
      <c r="K299" s="6" t="inlineStr">
        <is>
          <t>2026-06-08</t>
        </is>
      </c>
      <c r="L299" s="6" t="inlineStr">
        <is>
          <t>38</t>
        </is>
      </c>
      <c r="M299" s="6" t="n">
        <v/>
      </c>
      <c r="N299" s="6" t="inlineStr">
        <is>
          <t>45</t>
        </is>
      </c>
      <c r="O299" s="6" t="inlineStr">
        <is>
          <t>C-D28</t>
        </is>
      </c>
      <c r="P299" s="6" t="inlineStr">
        <is>
          <t>City of the Village of Clarkston</t>
        </is>
      </c>
      <c r="Q299" s="6" t="inlineStr">
        <is>
          <t>5701 Bow Pointe Dr suite 315, City of the Village of Clarkston, Michigan, 48346</t>
        </is>
      </c>
      <c r="R299" s="6" t="inlineStr"/>
      <c r="S299" s="6" t="inlineStr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</row>
    <row r="300">
      <c r="A300" s="6" t="inlineStr">
        <is>
          <t>MDVIP Clarkston</t>
        </is>
      </c>
      <c r="B300" s="6" t="inlineStr">
        <is>
          <t>525a54ac-f58c-4b57-8613-958fe3e2b9fa</t>
        </is>
      </c>
      <c r="C300" s="6" t="inlineStr">
        <is>
          <t>PCP</t>
        </is>
      </c>
      <c r="D300" s="6" t="inlineStr">
        <is>
          <t>Prospect</t>
        </is>
      </c>
      <c r="E300" s="6" t="inlineStr">
        <is>
          <t>Visit / Prospect</t>
        </is>
      </c>
      <c r="F300" s="6" t="n">
        <v>9</v>
      </c>
      <c r="G300" s="6" t="n">
        <v>0</v>
      </c>
      <c r="H300" s="6" t="inlineStr">
        <is>
          <t>0</t>
        </is>
      </c>
      <c r="I300" s="6" t="inlineStr">
        <is>
          <t>0</t>
        </is>
      </c>
      <c r="J300" s="6" t="inlineStr"/>
      <c r="K300" s="6" t="inlineStr">
        <is>
          <t>2026-06-08</t>
        </is>
      </c>
      <c r="L300" s="6" t="inlineStr">
        <is>
          <t>38</t>
        </is>
      </c>
      <c r="M300" s="6" t="n">
        <v/>
      </c>
      <c r="N300" s="6" t="inlineStr">
        <is>
          <t>45</t>
        </is>
      </c>
      <c r="O300" s="6" t="inlineStr">
        <is>
          <t>C-D28</t>
        </is>
      </c>
      <c r="P300" s="6" t="inlineStr">
        <is>
          <t>Clarkston</t>
        </is>
      </c>
      <c r="Q300" s="6" t="inlineStr">
        <is>
          <t>5701 Bow Pointe Drive, Clarkston, Michigan, 48346</t>
        </is>
      </c>
      <c r="R300" s="6" t="inlineStr"/>
      <c r="S300" s="6" t="inlineStr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</row>
    <row r="301">
      <c r="A301" s="6" t="inlineStr">
        <is>
          <t>PINE TREE MEDICAL CENTER</t>
        </is>
      </c>
      <c r="B301" s="6" t="inlineStr">
        <is>
          <t>e0f2c54e-06ee-4e34-863e-cb4675bd5c6e</t>
        </is>
      </c>
      <c r="C301" s="6" t="inlineStr">
        <is>
          <t>Orthopedic</t>
        </is>
      </c>
      <c r="D301" s="6" t="inlineStr">
        <is>
          <t>Prospect</t>
        </is>
      </c>
      <c r="E301" s="6" t="inlineStr">
        <is>
          <t>Visit / Prospect</t>
        </is>
      </c>
      <c r="F301" s="6" t="n">
        <v>9</v>
      </c>
      <c r="G301" s="6" t="n">
        <v>0</v>
      </c>
      <c r="H301" s="6" t="inlineStr">
        <is>
          <t>0</t>
        </is>
      </c>
      <c r="I301" s="6" t="inlineStr">
        <is>
          <t>0</t>
        </is>
      </c>
      <c r="J301" s="6" t="inlineStr"/>
      <c r="K301" s="6" t="inlineStr">
        <is>
          <t>2025-06-06</t>
        </is>
      </c>
      <c r="L301" s="6" t="inlineStr">
        <is>
          <t>405</t>
        </is>
      </c>
      <c r="M301" s="6" t="n">
        <v/>
      </c>
      <c r="N301" s="6" t="inlineStr">
        <is>
          <t>45</t>
        </is>
      </c>
      <c r="O301" s="6" t="inlineStr">
        <is>
          <t>C-D28</t>
        </is>
      </c>
      <c r="P301" s="6" t="inlineStr">
        <is>
          <t>WATERFORD</t>
        </is>
      </c>
      <c r="Q301" s="6" t="inlineStr">
        <is>
          <t>4186 PONTIAC LAKE RD, WATERFORD, Michigan</t>
        </is>
      </c>
      <c r="R301" s="6" t="inlineStr"/>
      <c r="S301" s="6" t="inlineStr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</row>
    <row r="302">
      <c r="A302" s="6" t="inlineStr">
        <is>
          <t>Blanzy Corwell clinic Southgate</t>
        </is>
      </c>
      <c r="B302" s="6" t="inlineStr">
        <is>
          <t>6e459635-80de-49eb-9451-991fd22dfb56</t>
        </is>
      </c>
      <c r="C302" s="6" t="inlineStr">
        <is>
          <t>PCP</t>
        </is>
      </c>
      <c r="D302" s="6" t="inlineStr">
        <is>
          <t>Prospect</t>
        </is>
      </c>
      <c r="E302" s="6" t="inlineStr">
        <is>
          <t>Visit / Prospect</t>
        </is>
      </c>
      <c r="F302" s="6" t="n">
        <v>9</v>
      </c>
      <c r="G302" s="6" t="n">
        <v>0</v>
      </c>
      <c r="H302" s="6" t="inlineStr">
        <is>
          <t>0</t>
        </is>
      </c>
      <c r="I302" s="6" t="inlineStr">
        <is>
          <t>0</t>
        </is>
      </c>
      <c r="J302" s="6" t="inlineStr"/>
      <c r="K302" s="6" t="inlineStr">
        <is>
          <t>2026-05-26</t>
        </is>
      </c>
      <c r="L302" s="6" t="inlineStr">
        <is>
          <t>51</t>
        </is>
      </c>
      <c r="M302" s="6" t="n">
        <v/>
      </c>
      <c r="N302" s="6" t="inlineStr">
        <is>
          <t>45</t>
        </is>
      </c>
      <c r="O302" s="6" t="inlineStr">
        <is>
          <t>C-D29</t>
        </is>
      </c>
      <c r="P302" s="6" t="inlineStr">
        <is>
          <t>Southgate</t>
        </is>
      </c>
      <c r="Q302" s="6" t="inlineStr">
        <is>
          <t>14319 Dix Toledo Road, Southgate, Michigan, 48195</t>
        </is>
      </c>
      <c r="R302" s="6" t="inlineStr"/>
      <c r="S302" s="6" t="inlineStr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</row>
    <row r="303">
      <c r="A303" s="6" t="inlineStr">
        <is>
          <t>Health First Medical Center</t>
        </is>
      </c>
      <c r="B303" s="6" t="inlineStr">
        <is>
          <t>c3b6301b-b3bc-474d-9ddd-d21fd2c40797</t>
        </is>
      </c>
      <c r="C303" s="6" t="inlineStr">
        <is>
          <t>PCP</t>
        </is>
      </c>
      <c r="D303" s="6" t="inlineStr">
        <is>
          <t>Prospect</t>
        </is>
      </c>
      <c r="E303" s="6" t="inlineStr">
        <is>
          <t>Visit / Prospect</t>
        </is>
      </c>
      <c r="F303" s="6" t="n">
        <v>9</v>
      </c>
      <c r="G303" s="6" t="n">
        <v>0</v>
      </c>
      <c r="H303" s="6" t="inlineStr">
        <is>
          <t>0</t>
        </is>
      </c>
      <c r="I303" s="6" t="inlineStr">
        <is>
          <t>0</t>
        </is>
      </c>
      <c r="J303" s="6" t="inlineStr"/>
      <c r="K303" s="6" t="inlineStr">
        <is>
          <t>2026-05-26</t>
        </is>
      </c>
      <c r="L303" s="6" t="inlineStr">
        <is>
          <t>51</t>
        </is>
      </c>
      <c r="M303" s="6" t="n">
        <v/>
      </c>
      <c r="N303" s="6" t="inlineStr">
        <is>
          <t>45</t>
        </is>
      </c>
      <c r="O303" s="6" t="inlineStr">
        <is>
          <t>C-D29</t>
        </is>
      </c>
      <c r="P303" s="6" t="inlineStr">
        <is>
          <t>SOUTHGATE</t>
        </is>
      </c>
      <c r="Q303" s="6" t="inlineStr">
        <is>
          <t>12100 DIX TOLEDO RD, SOUTHGATE, MI, 48195</t>
        </is>
      </c>
      <c r="R303" s="6" t="inlineStr"/>
      <c r="S303" s="6" t="inlineStr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</row>
    <row r="304">
      <c r="A304" s="6" t="inlineStr">
        <is>
          <t>Back &amp; Pain Center (UofM) at Burlington Bldg</t>
        </is>
      </c>
      <c r="B304" s="6" t="inlineStr">
        <is>
          <t>aaded854-5fe8-4282-b99d-3af289b977e0</t>
        </is>
      </c>
      <c r="C304" s="6" t="inlineStr">
        <is>
          <t>Pain</t>
        </is>
      </c>
      <c r="D304" s="6" t="inlineStr">
        <is>
          <t>Prospect</t>
        </is>
      </c>
      <c r="E304" s="6" t="inlineStr">
        <is>
          <t>Visit / Prospect</t>
        </is>
      </c>
      <c r="F304" s="6" t="n">
        <v>9</v>
      </c>
      <c r="G304" s="6" t="n">
        <v>0</v>
      </c>
      <c r="H304" s="6" t="inlineStr">
        <is>
          <t>0</t>
        </is>
      </c>
      <c r="I304" s="6" t="inlineStr">
        <is>
          <t>0</t>
        </is>
      </c>
      <c r="J304" s="6" t="inlineStr"/>
      <c r="K304" s="6" t="inlineStr">
        <is>
          <t>2025-08-27</t>
        </is>
      </c>
      <c r="L304" s="6" t="inlineStr">
        <is>
          <t>323</t>
        </is>
      </c>
      <c r="M304" s="6" t="n">
        <v/>
      </c>
      <c r="N304" s="6" t="inlineStr">
        <is>
          <t>45</t>
        </is>
      </c>
      <c r="O304" s="6" t="inlineStr">
        <is>
          <t>C-D30</t>
        </is>
      </c>
      <c r="P304" s="6" t="inlineStr">
        <is>
          <t>Ann Arbor</t>
        </is>
      </c>
      <c r="Q304" s="6" t="inlineStr">
        <is>
          <t>325 E Eisenhower Pkwy, Ann Arbor, Michigan, 48108</t>
        </is>
      </c>
      <c r="R304" s="6" t="inlineStr"/>
      <c r="S304" s="6" t="inlineStr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</row>
    <row r="305">
      <c r="A305" s="6" t="inlineStr">
        <is>
          <t>U of M Physical Medicine &amp; Rehabilitation Clinic - Burlington Building</t>
        </is>
      </c>
      <c r="B305" s="6" t="inlineStr">
        <is>
          <t>4430ce9a-04c4-4489-8cd4-1f4abdc28ce9</t>
        </is>
      </c>
      <c r="C305" s="6" t="inlineStr">
        <is>
          <t>Orthopedic</t>
        </is>
      </c>
      <c r="D305" s="6" t="inlineStr">
        <is>
          <t>Prospect</t>
        </is>
      </c>
      <c r="E305" s="6" t="inlineStr">
        <is>
          <t>Visit / Prospect</t>
        </is>
      </c>
      <c r="F305" s="6" t="n">
        <v>9</v>
      </c>
      <c r="G305" s="6" t="n">
        <v>0</v>
      </c>
      <c r="H305" s="6" t="inlineStr">
        <is>
          <t>0</t>
        </is>
      </c>
      <c r="I305" s="6" t="inlineStr">
        <is>
          <t>0</t>
        </is>
      </c>
      <c r="J305" s="6" t="inlineStr"/>
      <c r="K305" s="6" t="inlineStr">
        <is>
          <t>2025-08-27</t>
        </is>
      </c>
      <c r="L305" s="6" t="inlineStr">
        <is>
          <t>323</t>
        </is>
      </c>
      <c r="M305" s="6" t="n">
        <v/>
      </c>
      <c r="N305" s="6" t="inlineStr">
        <is>
          <t>45</t>
        </is>
      </c>
      <c r="O305" s="6" t="inlineStr">
        <is>
          <t>C-D30</t>
        </is>
      </c>
      <c r="P305" s="6" t="inlineStr">
        <is>
          <t>Ann Arbor</t>
        </is>
      </c>
      <c r="Q305" s="6" t="inlineStr">
        <is>
          <t>325 E Eisenhower Pkwy ste 100, Ann Arbor, Michigan, 48108</t>
        </is>
      </c>
      <c r="R305" s="6" t="inlineStr"/>
      <c r="S305" s="6" t="inlineStr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</row>
    <row r="306">
      <c r="A306" s="6" t="inlineStr">
        <is>
          <t>U of M Neurosurgery</t>
        </is>
      </c>
      <c r="B306" s="6" t="inlineStr">
        <is>
          <t>c357306a-7118-459d-82fc-5365721ca926</t>
        </is>
      </c>
      <c r="C306" s="6" t="inlineStr">
        <is>
          <t>Orthopedic</t>
        </is>
      </c>
      <c r="D306" s="6" t="inlineStr">
        <is>
          <t>Prospect</t>
        </is>
      </c>
      <c r="E306" s="6" t="inlineStr">
        <is>
          <t>Visit / Prospect</t>
        </is>
      </c>
      <c r="F306" s="6" t="n">
        <v>9</v>
      </c>
      <c r="G306" s="6" t="n">
        <v>0</v>
      </c>
      <c r="H306" s="6" t="inlineStr">
        <is>
          <t>0</t>
        </is>
      </c>
      <c r="I306" s="6" t="inlineStr">
        <is>
          <t>0</t>
        </is>
      </c>
      <c r="J306" s="6" t="inlineStr"/>
      <c r="K306" s="6" t="inlineStr">
        <is>
          <t>2025-08-27</t>
        </is>
      </c>
      <c r="L306" s="6" t="inlineStr">
        <is>
          <t>323</t>
        </is>
      </c>
      <c r="M306" s="6" t="n">
        <v/>
      </c>
      <c r="N306" s="6" t="inlineStr">
        <is>
          <t>45</t>
        </is>
      </c>
      <c r="O306" s="6" t="inlineStr">
        <is>
          <t>C-D30</t>
        </is>
      </c>
      <c r="P306" s="6" t="inlineStr">
        <is>
          <t>Ann Arbor</t>
        </is>
      </c>
      <c r="Q306" s="6" t="inlineStr">
        <is>
          <t>1500 E Medical Center Dr  Floor 2 Reception G, Ann Arbor, Mi, 48109</t>
        </is>
      </c>
      <c r="R306" s="6" t="inlineStr"/>
      <c r="S306" s="6" t="inlineStr">
        <is>
          <t>Neurosurgeon unlikely to cross-refer (Jul 20 rule) → Review for removal</t>
        </is>
      </c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</row>
    <row r="307">
      <c r="A307" s="6" t="inlineStr">
        <is>
          <t>IHA Ann Arbor Orthpaedic Specialists</t>
        </is>
      </c>
      <c r="B307" s="6" t="inlineStr">
        <is>
          <t>6900d9f0-9d28-423a-98a4-281fb9ac13c1</t>
        </is>
      </c>
      <c r="C307" s="6" t="inlineStr">
        <is>
          <t>Orthopedic</t>
        </is>
      </c>
      <c r="D307" s="6" t="inlineStr">
        <is>
          <t>Prospect</t>
        </is>
      </c>
      <c r="E307" s="6" t="inlineStr">
        <is>
          <t>Visit / Prospect</t>
        </is>
      </c>
      <c r="F307" s="6" t="n">
        <v>9</v>
      </c>
      <c r="G307" s="6" t="n">
        <v>0</v>
      </c>
      <c r="H307" s="6" t="inlineStr">
        <is>
          <t>0</t>
        </is>
      </c>
      <c r="I307" s="6" t="inlineStr">
        <is>
          <t>0</t>
        </is>
      </c>
      <c r="J307" s="6" t="inlineStr"/>
      <c r="K307" s="6" t="inlineStr">
        <is>
          <t>2025-09-22</t>
        </is>
      </c>
      <c r="L307" s="6" t="inlineStr">
        <is>
          <t>297</t>
        </is>
      </c>
      <c r="M307" s="6" t="n">
        <v/>
      </c>
      <c r="N307" s="6" t="inlineStr">
        <is>
          <t>45</t>
        </is>
      </c>
      <c r="O307" s="6" t="inlineStr">
        <is>
          <t>C-D30</t>
        </is>
      </c>
      <c r="P307" s="6" t="inlineStr">
        <is>
          <t>Ypsilanti</t>
        </is>
      </c>
      <c r="Q307" s="6" t="inlineStr">
        <is>
          <t>5320 Elliott Dr suite 301, Ypsilanti, Michigan, 48197</t>
        </is>
      </c>
      <c r="R307" s="6" t="inlineStr"/>
      <c r="S307" s="6" t="inlineStr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</row>
    <row r="308">
      <c r="A308" s="6" t="inlineStr">
        <is>
          <t>Trinity IHA Hand Surgery - Ypsilanti</t>
        </is>
      </c>
      <c r="B308" s="6" t="inlineStr">
        <is>
          <t>b6be5dd0-40a2-450c-946b-5deaaf8b0178</t>
        </is>
      </c>
      <c r="C308" s="6" t="inlineStr">
        <is>
          <t>Orthopedic</t>
        </is>
      </c>
      <c r="D308" s="6" t="inlineStr">
        <is>
          <t>Prospect</t>
        </is>
      </c>
      <c r="E308" s="6" t="inlineStr">
        <is>
          <t>Visit / Prospect</t>
        </is>
      </c>
      <c r="F308" s="6" t="n">
        <v>9</v>
      </c>
      <c r="G308" s="6" t="n">
        <v>0</v>
      </c>
      <c r="H308" s="6" t="inlineStr">
        <is>
          <t>0</t>
        </is>
      </c>
      <c r="I308" s="6" t="inlineStr">
        <is>
          <t>0</t>
        </is>
      </c>
      <c r="J308" s="6" t="inlineStr"/>
      <c r="K308" s="6" t="inlineStr">
        <is>
          <t>2024-04-12</t>
        </is>
      </c>
      <c r="L308" s="6" t="inlineStr">
        <is>
          <t>825</t>
        </is>
      </c>
      <c r="M308" s="6" t="n">
        <v/>
      </c>
      <c r="N308" s="6" t="inlineStr">
        <is>
          <t>45</t>
        </is>
      </c>
      <c r="O308" s="6" t="inlineStr">
        <is>
          <t>C-D30</t>
        </is>
      </c>
      <c r="P308" s="6" t="inlineStr">
        <is>
          <t>Ypsilanti</t>
        </is>
      </c>
      <c r="Q308" s="6" t="inlineStr">
        <is>
          <t>5315 Elliott Dr ste 202, Ypsilanti, Michigan, 48197</t>
        </is>
      </c>
      <c r="R308" s="6" t="inlineStr"/>
      <c r="S308" s="6" t="inlineStr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</row>
    <row r="309">
      <c r="A309" s="6" t="inlineStr">
        <is>
          <t>MedSport - Ann Arbor Domino's Farms</t>
        </is>
      </c>
      <c r="B309" s="6" t="inlineStr">
        <is>
          <t>19d50314-6b7d-4516-94cb-e3c191c3fde1</t>
        </is>
      </c>
      <c r="C309" s="6" t="inlineStr">
        <is>
          <t>Orthopedic</t>
        </is>
      </c>
      <c r="D309" s="6" t="inlineStr">
        <is>
          <t>Prospect</t>
        </is>
      </c>
      <c r="E309" s="6" t="inlineStr">
        <is>
          <t>Visit / Prospect</t>
        </is>
      </c>
      <c r="F309" s="6" t="n">
        <v>9</v>
      </c>
      <c r="G309" s="6" t="n">
        <v>0</v>
      </c>
      <c r="H309" s="6" t="inlineStr">
        <is>
          <t>0</t>
        </is>
      </c>
      <c r="I309" s="6" t="inlineStr">
        <is>
          <t>0</t>
        </is>
      </c>
      <c r="J309" s="6" t="inlineStr"/>
      <c r="K309" s="6" t="inlineStr">
        <is>
          <t>2024-04-12</t>
        </is>
      </c>
      <c r="L309" s="6" t="inlineStr">
        <is>
          <t>825</t>
        </is>
      </c>
      <c r="M309" s="6" t="n">
        <v/>
      </c>
      <c r="N309" s="6" t="inlineStr">
        <is>
          <t>45</t>
        </is>
      </c>
      <c r="O309" s="6" t="inlineStr">
        <is>
          <t>C-D30</t>
        </is>
      </c>
      <c r="P309" s="6" t="inlineStr">
        <is>
          <t>Ann Arbor</t>
        </is>
      </c>
      <c r="Q309" s="6" t="inlineStr">
        <is>
          <t>4008 Avenue Maria Drive, Ann Arbor, Michigan, 48105</t>
        </is>
      </c>
      <c r="R309" s="6" t="inlineStr"/>
      <c r="S309" s="6" t="inlineStr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</row>
    <row r="310">
      <c r="A310" s="6" t="inlineStr">
        <is>
          <t>Chelsea Physical Medicine &amp; Rehabilitation Specialists</t>
        </is>
      </c>
      <c r="B310" s="6" t="inlineStr">
        <is>
          <t>42caeada-e3af-49fd-ab98-cc39cf1a5ffe</t>
        </is>
      </c>
      <c r="C310" s="6" t="inlineStr">
        <is>
          <t>Orthopedic</t>
        </is>
      </c>
      <c r="D310" s="6" t="inlineStr">
        <is>
          <t>Prospect</t>
        </is>
      </c>
      <c r="E310" s="6" t="inlineStr">
        <is>
          <t>Visit / Prospect</t>
        </is>
      </c>
      <c r="F310" s="6" t="n">
        <v>9</v>
      </c>
      <c r="G310" s="6" t="n">
        <v>0</v>
      </c>
      <c r="H310" s="6" t="inlineStr">
        <is>
          <t>0</t>
        </is>
      </c>
      <c r="I310" s="6" t="inlineStr">
        <is>
          <t>0</t>
        </is>
      </c>
      <c r="J310" s="6" t="inlineStr"/>
      <c r="K310" s="6" t="inlineStr">
        <is>
          <t>2025-08-26</t>
        </is>
      </c>
      <c r="L310" s="6" t="inlineStr">
        <is>
          <t>324</t>
        </is>
      </c>
      <c r="M310" s="6" t="n">
        <v/>
      </c>
      <c r="N310" s="6" t="inlineStr">
        <is>
          <t>45</t>
        </is>
      </c>
      <c r="O310" s="6" t="inlineStr">
        <is>
          <t>C-D30</t>
        </is>
      </c>
      <c r="P310" s="6" t="inlineStr">
        <is>
          <t>Chelsea</t>
        </is>
      </c>
      <c r="Q310" s="6" t="inlineStr">
        <is>
          <t>14650 E Old  Hwy 12 ste 203, Chelsea, Michigan, 48118</t>
        </is>
      </c>
      <c r="R310" s="6" t="inlineStr"/>
      <c r="S310" s="6" t="inlineStr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</row>
    <row r="311">
      <c r="A311" s="6" t="inlineStr">
        <is>
          <t>Trinity Health IHA Orthopaedics - Chelsea</t>
        </is>
      </c>
      <c r="B311" s="6" t="inlineStr">
        <is>
          <t>1033228903</t>
        </is>
      </c>
      <c r="C311" s="6" t="inlineStr">
        <is>
          <t>Orthopedic</t>
        </is>
      </c>
      <c r="D311" s="6" t="inlineStr">
        <is>
          <t>Prospect</t>
        </is>
      </c>
      <c r="E311" s="6" t="inlineStr">
        <is>
          <t>Visit / Prospect</t>
        </is>
      </c>
      <c r="F311" s="6" t="n">
        <v>9</v>
      </c>
      <c r="G311" s="6" t="n">
        <v>0</v>
      </c>
      <c r="H311" s="6" t="inlineStr">
        <is>
          <t>0</t>
        </is>
      </c>
      <c r="I311" s="6" t="inlineStr">
        <is>
          <t>0</t>
        </is>
      </c>
      <c r="J311" s="6" t="inlineStr"/>
      <c r="K311" s="6" t="inlineStr">
        <is>
          <t>2025-08-26</t>
        </is>
      </c>
      <c r="L311" s="6" t="inlineStr">
        <is>
          <t>324</t>
        </is>
      </c>
      <c r="M311" s="6" t="n">
        <v/>
      </c>
      <c r="N311" s="6" t="inlineStr">
        <is>
          <t>45</t>
        </is>
      </c>
      <c r="O311" s="6" t="inlineStr">
        <is>
          <t>C-D30</t>
        </is>
      </c>
      <c r="P311" s="6" t="inlineStr">
        <is>
          <t>Chelsea</t>
        </is>
      </c>
      <c r="Q311" s="6" t="inlineStr">
        <is>
          <t>14650 E. Old US Hwy 12, Suite 104, Chelsea, MI, 48118</t>
        </is>
      </c>
      <c r="R311" s="6" t="inlineStr"/>
      <c r="S311" s="6" t="inlineStr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</row>
    <row r="312">
      <c r="A312" s="6" t="inlineStr">
        <is>
          <t>Precision Interventional Radiology</t>
        </is>
      </c>
      <c r="B312" s="6" t="inlineStr">
        <is>
          <t>e73e7e8b-2c72-479d-b015-c7ff5509f700</t>
        </is>
      </c>
      <c r="C312" s="6" t="inlineStr">
        <is>
          <t>Orthopedic</t>
        </is>
      </c>
      <c r="D312" s="6" t="inlineStr">
        <is>
          <t>Prospect</t>
        </is>
      </c>
      <c r="E312" s="6" t="inlineStr">
        <is>
          <t>Visit / Prospect</t>
        </is>
      </c>
      <c r="F312" s="6" t="n">
        <v>9</v>
      </c>
      <c r="G312" s="6" t="n">
        <v>0</v>
      </c>
      <c r="H312" s="6" t="inlineStr">
        <is>
          <t>0</t>
        </is>
      </c>
      <c r="I312" s="6" t="inlineStr">
        <is>
          <t>0</t>
        </is>
      </c>
      <c r="J312" s="6" t="inlineStr"/>
      <c r="K312" s="6" t="inlineStr">
        <is>
          <t>2026-03-09</t>
        </is>
      </c>
      <c r="L312" s="6" t="inlineStr">
        <is>
          <t>129</t>
        </is>
      </c>
      <c r="M312" s="6" t="n">
        <v/>
      </c>
      <c r="N312" s="6" t="inlineStr">
        <is>
          <t>45</t>
        </is>
      </c>
      <c r="O312" s="6" t="inlineStr">
        <is>
          <t>C-D31</t>
        </is>
      </c>
      <c r="P312" s="6" t="inlineStr">
        <is>
          <t>FARMINGTON HILLS</t>
        </is>
      </c>
      <c r="Q312" s="6" t="inlineStr">
        <is>
          <t>32255 NORTHWESTERN HWY STE 135, FARMINGTON HILLS, Michigan, 48334</t>
        </is>
      </c>
      <c r="R312" s="6" t="inlineStr"/>
      <c r="S312" s="6" t="inlineStr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</row>
    <row r="313">
      <c r="A313" s="6" t="inlineStr">
        <is>
          <t>SPINE SPECIALISTS OF MICHIGAN, PC</t>
        </is>
      </c>
      <c r="B313" s="6" t="inlineStr">
        <is>
          <t>2b5bba73-5878-4fa6-b615-7b5106bbe4e0</t>
        </is>
      </c>
      <c r="C313" s="6" t="inlineStr">
        <is>
          <t>Orthopedic</t>
        </is>
      </c>
      <c r="D313" s="6" t="inlineStr">
        <is>
          <t>Prospect</t>
        </is>
      </c>
      <c r="E313" s="6" t="inlineStr">
        <is>
          <t>Visit / Prospect</t>
        </is>
      </c>
      <c r="F313" s="6" t="n">
        <v>9</v>
      </c>
      <c r="G313" s="6" t="n">
        <v>0</v>
      </c>
      <c r="H313" s="6" t="inlineStr">
        <is>
          <t>0</t>
        </is>
      </c>
      <c r="I313" s="6" t="inlineStr">
        <is>
          <t>0</t>
        </is>
      </c>
      <c r="J313" s="6" t="inlineStr"/>
      <c r="K313" s="6" t="inlineStr">
        <is>
          <t>2025-09-02</t>
        </is>
      </c>
      <c r="L313" s="6" t="inlineStr">
        <is>
          <t>317</t>
        </is>
      </c>
      <c r="M313" s="6" t="n">
        <v/>
      </c>
      <c r="N313" s="6" t="inlineStr">
        <is>
          <t>45</t>
        </is>
      </c>
      <c r="O313" s="6" t="inlineStr">
        <is>
          <t>C-D31</t>
        </is>
      </c>
      <c r="P313" s="6" t="inlineStr">
        <is>
          <t>BINGHAM FARMS</t>
        </is>
      </c>
      <c r="Q313" s="6" t="inlineStr">
        <is>
          <t>32270 TELEGRAPH RD STE 110, BINGHAM FARMS, MI, 48025</t>
        </is>
      </c>
      <c r="R313" s="6" t="inlineStr"/>
      <c r="S313" s="6" t="inlineStr">
        <is>
          <t>Ortho group w/ in-house spine? verify (Jul 20 rule) → Review for removal</t>
        </is>
      </c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</row>
    <row r="314">
      <c r="A314" s="6" t="inlineStr">
        <is>
          <t>Beaumont Royal Oak - Physical Medicine &amp; Rehabilitation</t>
        </is>
      </c>
      <c r="B314" s="6" t="inlineStr">
        <is>
          <t>1619959566</t>
        </is>
      </c>
      <c r="C314" s="6" t="inlineStr">
        <is>
          <t>Orthopedic</t>
        </is>
      </c>
      <c r="D314" s="6" t="inlineStr">
        <is>
          <t>Prospect</t>
        </is>
      </c>
      <c r="E314" s="6" t="inlineStr">
        <is>
          <t>Visit / Prospect</t>
        </is>
      </c>
      <c r="F314" s="6" t="n">
        <v>9</v>
      </c>
      <c r="G314" s="6" t="n">
        <v>0</v>
      </c>
      <c r="H314" s="6" t="inlineStr">
        <is>
          <t>0</t>
        </is>
      </c>
      <c r="I314" s="6" t="inlineStr">
        <is>
          <t>0</t>
        </is>
      </c>
      <c r="J314" s="6" t="inlineStr"/>
      <c r="K314" s="6" t="inlineStr">
        <is>
          <t>2026-02-26</t>
        </is>
      </c>
      <c r="L314" s="6" t="inlineStr">
        <is>
          <t>140</t>
        </is>
      </c>
      <c r="M314" s="6" t="n">
        <v/>
      </c>
      <c r="N314" s="6" t="inlineStr">
        <is>
          <t>45</t>
        </is>
      </c>
      <c r="O314" s="6" t="inlineStr">
        <is>
          <t>C-D31</t>
        </is>
      </c>
      <c r="P314" s="6" t="inlineStr">
        <is>
          <t>Royal Oak</t>
        </is>
      </c>
      <c r="Q314" s="6" t="inlineStr">
        <is>
          <t>3601 W 13 Mile Rd, Royal Oak, MI, 480736710</t>
        </is>
      </c>
      <c r="R314" s="6" t="inlineStr"/>
      <c r="S314" s="6" t="inlineStr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</row>
    <row r="315">
      <c r="A315" s="6" t="inlineStr">
        <is>
          <t>Jolly Neurological Clinic</t>
        </is>
      </c>
      <c r="B315" s="6" t="inlineStr">
        <is>
          <t>b1af47a2-8b95-4560-97d6-d870e4474dac</t>
        </is>
      </c>
      <c r="C315" s="6" t="inlineStr">
        <is>
          <t>Pain</t>
        </is>
      </c>
      <c r="D315" s="6" t="inlineStr">
        <is>
          <t>Prospect</t>
        </is>
      </c>
      <c r="E315" s="6" t="inlineStr">
        <is>
          <t>Visit / Prospect</t>
        </is>
      </c>
      <c r="F315" s="6" t="n">
        <v>9</v>
      </c>
      <c r="G315" s="6" t="n">
        <v>0</v>
      </c>
      <c r="H315" s="6" t="inlineStr">
        <is>
          <t>0</t>
        </is>
      </c>
      <c r="I315" s="6" t="inlineStr">
        <is>
          <t>0</t>
        </is>
      </c>
      <c r="J315" s="6" t="inlineStr"/>
      <c r="K315" s="6" t="inlineStr">
        <is>
          <t>2026-06-05</t>
        </is>
      </c>
      <c r="L315" s="6" t="inlineStr">
        <is>
          <t>41</t>
        </is>
      </c>
      <c r="M315" s="6" t="n">
        <v/>
      </c>
      <c r="N315" s="6" t="inlineStr">
        <is>
          <t>45</t>
        </is>
      </c>
      <c r="O315" s="6" t="inlineStr">
        <is>
          <t>C-D31</t>
        </is>
      </c>
      <c r="P315" s="6" t="inlineStr">
        <is>
          <t>Bloomfield Township</t>
        </is>
      </c>
      <c r="Q315" s="6" t="inlineStr">
        <is>
          <t>43996 Woodward Avenue, Bloomfield Township, Michigan, 48302</t>
        </is>
      </c>
      <c r="R315" s="6" t="inlineStr"/>
      <c r="S315" s="6" t="inlineStr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</row>
    <row r="316">
      <c r="A316" s="6" t="inlineStr">
        <is>
          <t>Arthritis Physicians</t>
        </is>
      </c>
      <c r="B316" s="6" t="inlineStr">
        <is>
          <t>d012f6c8-f44d-46a5-9f8e-b3b522de7d83</t>
        </is>
      </c>
      <c r="C316" s="6" t="inlineStr">
        <is>
          <t>Pain</t>
        </is>
      </c>
      <c r="D316" s="6" t="inlineStr">
        <is>
          <t>Prospect</t>
        </is>
      </c>
      <c r="E316" s="6" t="inlineStr">
        <is>
          <t>Visit / Prospect</t>
        </is>
      </c>
      <c r="F316" s="6" t="n">
        <v>9</v>
      </c>
      <c r="G316" s="6" t="n">
        <v>0</v>
      </c>
      <c r="H316" s="6" t="inlineStr">
        <is>
          <t>0</t>
        </is>
      </c>
      <c r="I316" s="6" t="inlineStr">
        <is>
          <t>0</t>
        </is>
      </c>
      <c r="J316" s="6" t="inlineStr"/>
      <c r="K316" s="6" t="inlineStr">
        <is>
          <t>2026-03-04</t>
        </is>
      </c>
      <c r="L316" s="6" t="inlineStr">
        <is>
          <t>134</t>
        </is>
      </c>
      <c r="M316" s="6" t="n">
        <v/>
      </c>
      <c r="N316" s="6" t="inlineStr">
        <is>
          <t>45</t>
        </is>
      </c>
      <c r="O316" s="6" t="inlineStr">
        <is>
          <t>C-D32</t>
        </is>
      </c>
      <c r="P316" s="6" t="inlineStr">
        <is>
          <t>Rochester Hills</t>
        </is>
      </c>
      <c r="Q316" s="6" t="inlineStr">
        <is>
          <t>1701 S Blvd, ste 110, Rochester Hills, Michigan, 48307</t>
        </is>
      </c>
      <c r="R316" s="6" t="inlineStr"/>
      <c r="S316" s="6" t="inlineStr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</row>
    <row r="317">
      <c r="A317" s="6" t="inlineStr">
        <is>
          <t>Premier Surgical Specialists</t>
        </is>
      </c>
      <c r="B317" s="6" t="inlineStr">
        <is>
          <t>47bcf8c4-c5dc-4d5a-9a9e-4bece6e01698</t>
        </is>
      </c>
      <c r="C317" s="6" t="inlineStr">
        <is>
          <t>Pain</t>
        </is>
      </c>
      <c r="D317" s="6" t="inlineStr">
        <is>
          <t>Prospect</t>
        </is>
      </c>
      <c r="E317" s="6" t="inlineStr">
        <is>
          <t>Visit / Prospect</t>
        </is>
      </c>
      <c r="F317" s="6" t="n">
        <v>9</v>
      </c>
      <c r="G317" s="6" t="n">
        <v>0</v>
      </c>
      <c r="H317" s="6" t="inlineStr">
        <is>
          <t>0</t>
        </is>
      </c>
      <c r="I317" s="6" t="inlineStr">
        <is>
          <t>0</t>
        </is>
      </c>
      <c r="J317" s="6" t="inlineStr"/>
      <c r="K317" s="6" t="inlineStr">
        <is>
          <t>2026-02-23</t>
        </is>
      </c>
      <c r="L317" s="6" t="inlineStr">
        <is>
          <t>143</t>
        </is>
      </c>
      <c r="M317" s="6" t="n">
        <v/>
      </c>
      <c r="N317" s="6" t="inlineStr">
        <is>
          <t>45</t>
        </is>
      </c>
      <c r="O317" s="6" t="inlineStr">
        <is>
          <t>C-D32</t>
        </is>
      </c>
      <c r="P317" s="6" t="inlineStr">
        <is>
          <t>Rochester Hills</t>
        </is>
      </c>
      <c r="Q317" s="6" t="inlineStr">
        <is>
          <t>1701 East South Boulevard, ste 270, Rochester Hills, Michigan, 48307</t>
        </is>
      </c>
      <c r="R317" s="6" t="inlineStr"/>
      <c r="S317" s="6" t="inlineStr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</row>
    <row r="318">
      <c r="A318" s="6" t="inlineStr">
        <is>
          <t>Southeast Michigan Center for Orthopedics - Rochester Hlls</t>
        </is>
      </c>
      <c r="B318" s="6" t="inlineStr">
        <is>
          <t>550845e3-e358-4aa5-badb-e90d93042d7c</t>
        </is>
      </c>
      <c r="C318" s="6" t="inlineStr">
        <is>
          <t>Orthopedic</t>
        </is>
      </c>
      <c r="D318" s="6" t="inlineStr">
        <is>
          <t>Prospect</t>
        </is>
      </c>
      <c r="E318" s="6" t="inlineStr">
        <is>
          <t>Visit / Prospect</t>
        </is>
      </c>
      <c r="F318" s="6" t="n">
        <v>9</v>
      </c>
      <c r="G318" s="6" t="n">
        <v>0</v>
      </c>
      <c r="H318" s="6" t="inlineStr">
        <is>
          <t>0</t>
        </is>
      </c>
      <c r="I318" s="6" t="inlineStr">
        <is>
          <t>0</t>
        </is>
      </c>
      <c r="J318" s="6" t="inlineStr"/>
      <c r="K318" s="6" t="inlineStr">
        <is>
          <t>2026-02-23</t>
        </is>
      </c>
      <c r="L318" s="6" t="inlineStr">
        <is>
          <t>143</t>
        </is>
      </c>
      <c r="M318" s="6" t="n">
        <v/>
      </c>
      <c r="N318" s="6" t="inlineStr">
        <is>
          <t>45</t>
        </is>
      </c>
      <c r="O318" s="6" t="inlineStr">
        <is>
          <t>C-D32</t>
        </is>
      </c>
      <c r="P318" s="6" t="inlineStr">
        <is>
          <t>Rochester Hills</t>
        </is>
      </c>
      <c r="Q318" s="6" t="inlineStr">
        <is>
          <t>1701 E South Blvd ste 104, Rochester Hills, Michigan, 48307</t>
        </is>
      </c>
      <c r="R318" s="6" t="inlineStr"/>
      <c r="S318" s="6" t="inlineStr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</row>
    <row r="319">
      <c r="A319" s="6" t="inlineStr">
        <is>
          <t>Adult Wellness &amp; Internal Medicine</t>
        </is>
      </c>
      <c r="B319" s="6" t="inlineStr">
        <is>
          <t>d52215b9-d874-4639-9ff2-a87b853ad52d</t>
        </is>
      </c>
      <c r="C319" s="6" t="inlineStr">
        <is>
          <t>PCP</t>
        </is>
      </c>
      <c r="D319" s="6" t="inlineStr">
        <is>
          <t>Prospect</t>
        </is>
      </c>
      <c r="E319" s="6" t="inlineStr">
        <is>
          <t>Visit / Prospect</t>
        </is>
      </c>
      <c r="F319" s="6" t="n">
        <v>8</v>
      </c>
      <c r="G319" s="6" t="n">
        <v>0</v>
      </c>
      <c r="H319" s="6" t="inlineStr">
        <is>
          <t>0</t>
        </is>
      </c>
      <c r="I319" s="6" t="inlineStr">
        <is>
          <t>0</t>
        </is>
      </c>
      <c r="J319" s="6" t="inlineStr"/>
      <c r="K319" s="6" t="inlineStr">
        <is>
          <t>2025-02-04</t>
        </is>
      </c>
      <c r="L319" s="6" t="inlineStr">
        <is>
          <t>527</t>
        </is>
      </c>
      <c r="M319" s="6" t="n">
        <v/>
      </c>
      <c r="N319" s="6" t="inlineStr">
        <is>
          <t>45</t>
        </is>
      </c>
      <c r="O319" s="6" t="inlineStr">
        <is>
          <t>C-D22</t>
        </is>
      </c>
      <c r="P319" s="6" t="inlineStr">
        <is>
          <t>Flint</t>
        </is>
      </c>
      <c r="Q319" s="6" t="inlineStr">
        <is>
          <t>5105 Bristol Road, Flint, Michigan, 48507</t>
        </is>
      </c>
      <c r="R319" s="6" t="inlineStr"/>
      <c r="S319" s="6" t="inlineStr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</row>
    <row r="320">
      <c r="A320" s="6" t="inlineStr">
        <is>
          <t>Advance Urgent Care - Hartland</t>
        </is>
      </c>
      <c r="B320" s="6" t="inlineStr">
        <is>
          <t>74360f7a-f042-4521-a7bb-a807dcb10282</t>
        </is>
      </c>
      <c r="C320" s="6" t="inlineStr">
        <is>
          <t>Urgent Care</t>
        </is>
      </c>
      <c r="D320" s="6" t="inlineStr">
        <is>
          <t>Prospect</t>
        </is>
      </c>
      <c r="E320" s="6" t="inlineStr">
        <is>
          <t>Visit / Prospect</t>
        </is>
      </c>
      <c r="F320" s="6" t="n">
        <v>8</v>
      </c>
      <c r="G320" s="6" t="n">
        <v>0</v>
      </c>
      <c r="H320" s="6" t="inlineStr">
        <is>
          <t>0</t>
        </is>
      </c>
      <c r="I320" s="6" t="inlineStr">
        <is>
          <t>0</t>
        </is>
      </c>
      <c r="J320" s="6" t="inlineStr"/>
      <c r="K320" s="6" t="inlineStr">
        <is>
          <t>2025-04-29</t>
        </is>
      </c>
      <c r="L320" s="6" t="inlineStr">
        <is>
          <t>443</t>
        </is>
      </c>
      <c r="M320" s="6" t="n">
        <v/>
      </c>
      <c r="N320" s="6" t="inlineStr">
        <is>
          <t>45</t>
        </is>
      </c>
      <c r="O320" s="6" t="inlineStr">
        <is>
          <t>C-D22</t>
        </is>
      </c>
      <c r="P320" s="6" t="inlineStr">
        <is>
          <t>Hartland</t>
        </is>
      </c>
      <c r="Q320" s="6" t="inlineStr">
        <is>
          <t>11554 Highland Rd, Hartland, Michigan, 48353</t>
        </is>
      </c>
      <c r="R320" s="6" t="inlineStr"/>
      <c r="S320" s="6" t="inlineStr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</row>
  </sheetData>
  <dataValidations count="5">
    <dataValidation sqref="T3:T320" showDropDown="0" showInputMessage="0" showErrorMessage="0" allowBlank="1" type="list">
      <formula1>"Keep,Remove,Reassign"</formula1>
    </dataValidation>
    <dataValidation sqref="V3:V320" showDropDown="0" showInputMessage="0" showErrorMessage="0" allowBlank="1" type="list">
      <formula1>"Tier 1,Tier 2,Tier 3,Prospect"</formula1>
    </dataValidation>
    <dataValidation sqref="W3:W320" showDropDown="0" showInputMessage="0" showErrorMessage="0" allowBlank="1" type="list">
      <formula1>"High,Medium,Low,None"</formula1>
    </dataValidation>
    <dataValidation sqref="X3:X320" showDropDown="0" showInputMessage="0" showErrorMessage="0" allowBlank="1" type="list">
      <formula1>"Yes,No,Unknown"</formula1>
    </dataValidation>
    <dataValidation sqref="Y3:Y320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9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9" customWidth="1" min="15" max="15"/>
    <col width="15" customWidth="1" min="16" max="16"/>
    <col width="32" customWidth="1" min="17" max="17"/>
    <col width="34" customWidth="1" min="18" max="18"/>
    <col width="30" customWidth="1" min="19" max="19"/>
    <col width="12" customWidth="1" min="20" max="20"/>
    <col width="14" customWidth="1" min="21" max="21"/>
    <col width="10" customWidth="1" min="22" max="22"/>
    <col width="12" customWidth="1" min="23" max="23"/>
    <col width="12" customWidth="1" min="24" max="24"/>
    <col width="12" customWidth="1" min="25" max="25"/>
    <col width="11" customWidth="1" min="26" max="26"/>
    <col width="26" customWidth="1" min="27" max="27"/>
    <col width="28" customWidth="1" min="28" max="28"/>
  </cols>
  <sheetData>
    <row r="1">
      <c r="A1" s="4" t="inlineStr">
        <is>
          <t>Account / Practice</t>
        </is>
      </c>
      <c r="B1" s="4" t="inlineStr">
        <is>
          <t>MMC Company ID</t>
        </is>
      </c>
      <c r="C1" s="4" t="inlineStr">
        <is>
          <t>Practice Type</t>
        </is>
      </c>
      <c r="D1" s="4" t="inlineStr">
        <is>
          <t>Tier</t>
        </is>
      </c>
      <c r="E1" s="4" t="inlineStr">
        <is>
          <t>Referral Evidence Band</t>
        </is>
      </c>
      <c r="F1" s="4" t="inlineStr">
        <is>
          <t>Target Score</t>
        </is>
      </c>
      <c r="G1" s="4" t="inlineStr">
        <is>
          <t>Spine 2026</t>
        </is>
      </c>
      <c r="H1" s="4" t="inlineStr">
        <is>
          <t>Ortho 2026</t>
        </is>
      </c>
      <c r="I1" s="4" t="inlineStr">
        <is>
          <t>Total B2B 2026</t>
        </is>
      </c>
      <c r="J1" s="4" t="inlineStr">
        <is>
          <t>Last Spine Patient</t>
        </is>
      </c>
      <c r="K1" s="4" t="inlineStr">
        <is>
          <t>Last Completed Visit</t>
        </is>
      </c>
      <c r="L1" s="4" t="inlineStr">
        <is>
          <t>Days Since Visit</t>
        </is>
      </c>
      <c r="M1" s="4" t="inlineStr">
        <is>
          <t>Median Visit→Appt Lag</t>
        </is>
      </c>
      <c r="N1" s="4" t="inlineStr">
        <is>
          <t>Planned Cadence (d)</t>
        </is>
      </c>
      <c r="O1" s="4" t="inlineStr">
        <is>
          <t>Route Day</t>
        </is>
      </c>
      <c r="P1" s="4" t="inlineStr">
        <is>
          <t>City</t>
        </is>
      </c>
      <c r="Q1" s="4" t="inlineStr">
        <is>
          <t>Full Address</t>
        </is>
      </c>
      <c r="R1" s="4" t="inlineStr">
        <is>
          <t>Known Referring Providers</t>
        </is>
      </c>
      <c r="S1" s="4" t="inlineStr">
        <is>
          <t>Pre-Flag (auto)</t>
        </is>
      </c>
      <c r="T1" s="4" t="inlineStr">
        <is>
          <t>Disposition</t>
        </is>
      </c>
      <c r="U1" s="4" t="inlineStr">
        <is>
          <t>Final Practice Type</t>
        </is>
      </c>
      <c r="V1" s="4" t="inlineStr">
        <is>
          <t>Final Tier</t>
        </is>
      </c>
      <c r="W1" s="4" t="inlineStr">
        <is>
          <t>Spine Opportunity</t>
        </is>
      </c>
      <c r="X1" s="4" t="inlineStr">
        <is>
          <t>Employed Spine/Neuro Provider?</t>
        </is>
      </c>
      <c r="Y1" s="4" t="inlineStr">
        <is>
          <t>Competitor / Referral Restriction?</t>
        </is>
      </c>
      <c r="Z1" s="4" t="inlineStr">
        <is>
          <t>Recommended Cadence (d)</t>
        </is>
      </c>
      <c r="AA1" s="4" t="inlineStr">
        <is>
          <t>Removal / Reassignment Reason</t>
        </is>
      </c>
      <c r="AB1" s="4" t="inlineStr">
        <is>
          <t>PL Notes</t>
        </is>
      </c>
    </row>
    <row r="2">
      <c r="A2" s="5" t="inlineStr">
        <is>
          <t>[EXAMPLE] Sample Family Medicine</t>
        </is>
      </c>
      <c r="B2" s="5" t="inlineStr">
        <is>
          <t>—</t>
        </is>
      </c>
      <c r="C2" s="5" t="inlineStr">
        <is>
          <t>PCP</t>
        </is>
      </c>
      <c r="D2" s="5" t="inlineStr">
        <is>
          <t>Tier 2</t>
        </is>
      </c>
      <c r="E2" s="5" t="inlineStr">
        <is>
          <t>Ortho Referrer</t>
        </is>
      </c>
      <c r="F2" s="5" t="n">
        <v>48</v>
      </c>
      <c r="G2" s="5" t="n">
        <v>0</v>
      </c>
      <c r="H2" s="5" t="n">
        <v>3</v>
      </c>
      <c r="I2" s="5" t="n">
        <v>4</v>
      </c>
      <c r="J2" s="5" t="inlineStr"/>
      <c r="K2" s="5" t="inlineStr">
        <is>
          <t>2026-06-12</t>
        </is>
      </c>
      <c r="L2" s="5" t="n">
        <v>39</v>
      </c>
      <c r="M2" s="5" t="inlineStr"/>
      <c r="N2" s="5" t="inlineStr">
        <is>
          <t>21</t>
        </is>
      </c>
      <c r="O2" s="5" t="inlineStr">
        <is>
          <t>K-D03</t>
        </is>
      </c>
      <c r="P2" s="5" t="inlineStr">
        <is>
          <t>Livonia</t>
        </is>
      </c>
      <c r="Q2" s="5" t="inlineStr">
        <is>
          <t>123 Example Rd</t>
        </is>
      </c>
      <c r="R2" s="5" t="inlineStr">
        <is>
          <t>Dr. A. Sample (3 ortho)</t>
        </is>
      </c>
      <c r="S2" s="5" t="inlineStr"/>
      <c r="T2" s="5" t="inlineStr">
        <is>
          <t>Keep</t>
        </is>
      </c>
      <c r="U2" s="5" t="inlineStr">
        <is>
          <t>PCP</t>
        </is>
      </c>
      <c r="V2" s="5" t="inlineStr">
        <is>
          <t>Tier 2</t>
        </is>
      </c>
      <c r="W2" s="5" t="inlineStr">
        <is>
          <t>Medium</t>
        </is>
      </c>
      <c r="X2" s="5" t="inlineStr">
        <is>
          <t>No</t>
        </is>
      </c>
      <c r="Y2" s="5" t="inlineStr">
        <is>
          <t>No</t>
        </is>
      </c>
      <c r="Z2" s="5" t="inlineStr">
        <is>
          <t>21</t>
        </is>
      </c>
      <c r="AA2" s="5" t="inlineStr"/>
      <c r="AB2" s="5" t="inlineStr">
        <is>
          <t>Solid ortho sender; pitch spine pathway next visit</t>
        </is>
      </c>
    </row>
    <row r="3">
      <c r="A3" s="6" t="inlineStr">
        <is>
          <t>Macomb Internal Medicine</t>
        </is>
      </c>
      <c r="B3" s="6" t="inlineStr">
        <is>
          <t>5271bbd8-dfe5-4d54-a0a2-f5547050cafe</t>
        </is>
      </c>
      <c r="C3" s="6" t="inlineStr">
        <is>
          <t>PCP</t>
        </is>
      </c>
      <c r="D3" s="6" t="inlineStr">
        <is>
          <t>Tier 1</t>
        </is>
      </c>
      <c r="E3" s="6" t="inlineStr">
        <is>
          <t>Repeat Spine Referrer</t>
        </is>
      </c>
      <c r="F3" s="6" t="n">
        <v>91</v>
      </c>
      <c r="G3" s="6" t="n">
        <v>4</v>
      </c>
      <c r="H3" s="6" t="inlineStr">
        <is>
          <t>0</t>
        </is>
      </c>
      <c r="I3" s="6" t="inlineStr">
        <is>
          <t>4</t>
        </is>
      </c>
      <c r="J3" s="6" t="inlineStr">
        <is>
          <t>2026-07-08</t>
        </is>
      </c>
      <c r="K3" s="6" t="inlineStr">
        <is>
          <t>2026-07-10</t>
        </is>
      </c>
      <c r="L3" s="6" t="inlineStr">
        <is>
          <t>6</t>
        </is>
      </c>
      <c r="M3" s="6" t="inlineStr">
        <is>
          <t>9</t>
        </is>
      </c>
      <c r="N3" s="6" t="inlineStr">
        <is>
          <t>14</t>
        </is>
      </c>
      <c r="O3" s="6" t="inlineStr">
        <is>
          <t>S-D01</t>
        </is>
      </c>
      <c r="P3" s="6" t="inlineStr">
        <is>
          <t>Clinton Township</t>
        </is>
      </c>
      <c r="Q3" s="6" t="inlineStr">
        <is>
          <t>15520 19 Mile Road, Suite 480, Clinton Township, MI, 48038</t>
        </is>
      </c>
      <c r="R3" s="6" t="inlineStr">
        <is>
          <t>Anu Duvoor, MD (2 spine) · Linda Kosal, DO (2 spine)</t>
        </is>
      </c>
      <c r="S3" s="6" t="inlineStr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6" t="inlineStr">
        <is>
          <t>MI Family Practice</t>
        </is>
      </c>
      <c r="B4" s="6" t="inlineStr">
        <is>
          <t>6aee51ce-625f-4968-96c5-5d9a6936bf27</t>
        </is>
      </c>
      <c r="C4" s="6" t="inlineStr">
        <is>
          <t>PCP</t>
        </is>
      </c>
      <c r="D4" s="6" t="inlineStr">
        <is>
          <t>Tier 1</t>
        </is>
      </c>
      <c r="E4" s="6" t="inlineStr">
        <is>
          <t>Repeat Spine Referrer</t>
        </is>
      </c>
      <c r="F4" s="6" t="n">
        <v>90</v>
      </c>
      <c r="G4" s="6" t="n">
        <v>3</v>
      </c>
      <c r="H4" s="6" t="inlineStr">
        <is>
          <t>5</t>
        </is>
      </c>
      <c r="I4" s="6" t="inlineStr">
        <is>
          <t>8</t>
        </is>
      </c>
      <c r="J4" s="6" t="inlineStr">
        <is>
          <t>2026-07-07</t>
        </is>
      </c>
      <c r="K4" s="6" t="inlineStr">
        <is>
          <t>2026-07-09</t>
        </is>
      </c>
      <c r="L4" s="6" t="inlineStr">
        <is>
          <t>7</t>
        </is>
      </c>
      <c r="M4" s="6" t="inlineStr">
        <is>
          <t>28.5</t>
        </is>
      </c>
      <c r="N4" s="6" t="inlineStr">
        <is>
          <t>14</t>
        </is>
      </c>
      <c r="O4" s="6" t="inlineStr">
        <is>
          <t>S-D02</t>
        </is>
      </c>
      <c r="P4" s="6" t="inlineStr">
        <is>
          <t>Warren</t>
        </is>
      </c>
      <c r="Q4" s="6" t="inlineStr">
        <is>
          <t>11300 E 13 Mile Rd, Suite 1, Warren, MI, 48093</t>
        </is>
      </c>
      <c r="R4" s="6" t="inlineStr">
        <is>
          <t>Matthew Garza, DO (2 spine) · Taras Lisowsky, DO (1 spine)</t>
        </is>
      </c>
      <c r="S4" s="6" t="inlineStr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6" t="inlineStr">
        <is>
          <t>Ryan Medical Associates</t>
        </is>
      </c>
      <c r="B5" s="6" t="inlineStr">
        <is>
          <t>c88f05f1-5992-43b0-947c-469a44a0feef</t>
        </is>
      </c>
      <c r="C5" s="6" t="inlineStr">
        <is>
          <t>PCP</t>
        </is>
      </c>
      <c r="D5" s="6" t="inlineStr">
        <is>
          <t>Tier 1</t>
        </is>
      </c>
      <c r="E5" s="6" t="inlineStr">
        <is>
          <t>Repeat Spine Referrer</t>
        </is>
      </c>
      <c r="F5" s="6" t="n">
        <v>82</v>
      </c>
      <c r="G5" s="6" t="n">
        <v>2</v>
      </c>
      <c r="H5" s="6" t="inlineStr">
        <is>
          <t>1</t>
        </is>
      </c>
      <c r="I5" s="6" t="inlineStr">
        <is>
          <t>3</t>
        </is>
      </c>
      <c r="J5" s="6" t="inlineStr">
        <is>
          <t>2026-04-07</t>
        </is>
      </c>
      <c r="K5" s="6" t="inlineStr">
        <is>
          <t>2026-04-20</t>
        </is>
      </c>
      <c r="L5" s="6" t="inlineStr">
        <is>
          <t>87</t>
        </is>
      </c>
      <c r="M5" s="6" t="inlineStr">
        <is>
          <t>19</t>
        </is>
      </c>
      <c r="N5" s="6" t="inlineStr">
        <is>
          <t>14</t>
        </is>
      </c>
      <c r="O5" s="6" t="inlineStr">
        <is>
          <t>S-D02</t>
        </is>
      </c>
      <c r="P5" s="6" t="inlineStr">
        <is>
          <t>Warren</t>
        </is>
      </c>
      <c r="Q5" s="6" t="inlineStr">
        <is>
          <t>21647 Ryan Rd, Warren, MI, 48091</t>
        </is>
      </c>
      <c r="R5" s="6" t="inlineStr">
        <is>
          <t>Kevin A Agrest, DO (1 spine) · Christine England, NP (1 spine) · Jeffrey A Kraft, DO (1 ortho)</t>
        </is>
      </c>
      <c r="S5" s="6" t="inlineStr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6" t="inlineStr">
        <is>
          <t>Michigan Compassionate Care</t>
        </is>
      </c>
      <c r="B6" s="6" t="inlineStr">
        <is>
          <t>33d0c0aa-7d47-450d-9673-71acb651321c</t>
        </is>
      </c>
      <c r="C6" s="6" t="inlineStr">
        <is>
          <t>PCP</t>
        </is>
      </c>
      <c r="D6" s="6" t="inlineStr">
        <is>
          <t>Tier 1</t>
        </is>
      </c>
      <c r="E6" s="6" t="inlineStr">
        <is>
          <t>Repeat Spine Referrer</t>
        </is>
      </c>
      <c r="F6" s="6" t="n">
        <v>82</v>
      </c>
      <c r="G6" s="6" t="n">
        <v>2</v>
      </c>
      <c r="H6" s="6" t="inlineStr">
        <is>
          <t>6</t>
        </is>
      </c>
      <c r="I6" s="6" t="inlineStr">
        <is>
          <t>9</t>
        </is>
      </c>
      <c r="J6" s="6" t="inlineStr">
        <is>
          <t>2026-05-11</t>
        </is>
      </c>
      <c r="K6" s="6" t="inlineStr">
        <is>
          <t>2026-03-11</t>
        </is>
      </c>
      <c r="L6" s="6" t="inlineStr">
        <is>
          <t>127</t>
        </is>
      </c>
      <c r="M6" s="6" t="inlineStr">
        <is>
          <t>21</t>
        </is>
      </c>
      <c r="N6" s="6" t="inlineStr">
        <is>
          <t>14</t>
        </is>
      </c>
      <c r="O6" s="6" t="inlineStr">
        <is>
          <t>S-D02</t>
        </is>
      </c>
      <c r="P6" s="6" t="inlineStr">
        <is>
          <t>Warren</t>
        </is>
      </c>
      <c r="Q6" s="6" t="inlineStr">
        <is>
          <t>28401 Hoover, Warren, Michigan, 48093</t>
        </is>
      </c>
      <c r="R6" s="6" t="inlineStr">
        <is>
          <t>Muhammad Vasiq, MD (2 spine) · Michigan Compassionate Care (2 ortho)</t>
        </is>
      </c>
      <c r="S6" s="6" t="inlineStr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>
      <c r="A7" s="6" t="inlineStr">
        <is>
          <t>Get Well Urgent Care Madison Heights</t>
        </is>
      </c>
      <c r="B7" s="6" t="inlineStr">
        <is>
          <t>346a1335-a97f-4a1a-9847-77f9e71383c3</t>
        </is>
      </c>
      <c r="C7" s="6" t="inlineStr">
        <is>
          <t>Urgent Care</t>
        </is>
      </c>
      <c r="D7" s="6" t="inlineStr">
        <is>
          <t>Tier 1</t>
        </is>
      </c>
      <c r="E7" s="6" t="inlineStr">
        <is>
          <t>Repeat Spine Referrer</t>
        </is>
      </c>
      <c r="F7" s="6" t="n">
        <v>82</v>
      </c>
      <c r="G7" s="6" t="n">
        <v>2</v>
      </c>
      <c r="H7" s="6" t="inlineStr">
        <is>
          <t>1</t>
        </is>
      </c>
      <c r="I7" s="6" t="inlineStr">
        <is>
          <t>3</t>
        </is>
      </c>
      <c r="J7" s="6" t="inlineStr">
        <is>
          <t>2026-06-24</t>
        </is>
      </c>
      <c r="K7" s="6" t="inlineStr">
        <is>
          <t>2026-03-25</t>
        </is>
      </c>
      <c r="L7" s="6" t="inlineStr">
        <is>
          <t>113</t>
        </is>
      </c>
      <c r="M7" s="6" t="inlineStr">
        <is>
          <t>28</t>
        </is>
      </c>
      <c r="N7" s="6" t="inlineStr">
        <is>
          <t>14</t>
        </is>
      </c>
      <c r="O7" s="6" t="inlineStr">
        <is>
          <t>S-D03</t>
        </is>
      </c>
      <c r="P7" s="6" t="inlineStr">
        <is>
          <t>Madison Heights</t>
        </is>
      </c>
      <c r="Q7" s="6" t="inlineStr">
        <is>
          <t>350 E 12 Mile Rd, Madison Heights, Michigan, 48071</t>
        </is>
      </c>
      <c r="R7" s="6" t="inlineStr">
        <is>
          <t>Get Well Urgent Care - Madison Heights (1 spine) · Getwell Urgent Care- Madison Heights (1 spine)</t>
        </is>
      </c>
      <c r="S7" s="6" t="inlineStr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>
      <c r="A8" s="6" t="inlineStr">
        <is>
          <t>Brigid Healthcare</t>
        </is>
      </c>
      <c r="B8" s="6" t="inlineStr">
        <is>
          <t>63bf16ad-3645-45fb-8f1d-e1eb3a131efc</t>
        </is>
      </c>
      <c r="C8" s="6" t="inlineStr">
        <is>
          <t>PCP</t>
        </is>
      </c>
      <c r="D8" s="6" t="inlineStr">
        <is>
          <t>Tier 1</t>
        </is>
      </c>
      <c r="E8" s="6" t="inlineStr">
        <is>
          <t>Repeat Spine Referrer</t>
        </is>
      </c>
      <c r="F8" s="6" t="n">
        <v>82</v>
      </c>
      <c r="G8" s="6" t="n">
        <v>2</v>
      </c>
      <c r="H8" s="6" t="inlineStr">
        <is>
          <t>1</t>
        </is>
      </c>
      <c r="I8" s="6" t="inlineStr">
        <is>
          <t>3</t>
        </is>
      </c>
      <c r="J8" s="6" t="inlineStr">
        <is>
          <t>2026-04-17</t>
        </is>
      </c>
      <c r="K8" s="6" t="inlineStr">
        <is>
          <t>2026-04-14</t>
        </is>
      </c>
      <c r="L8" s="6" t="inlineStr">
        <is>
          <t>93</t>
        </is>
      </c>
      <c r="M8" s="6" t="inlineStr">
        <is>
          <t>10</t>
        </is>
      </c>
      <c r="N8" s="6" t="inlineStr">
        <is>
          <t>14</t>
        </is>
      </c>
      <c r="O8" s="6" t="inlineStr">
        <is>
          <t>S-D03</t>
        </is>
      </c>
      <c r="P8" s="6" t="inlineStr">
        <is>
          <t>Troy</t>
        </is>
      </c>
      <c r="Q8" s="6" t="inlineStr">
        <is>
          <t>3456 Rochester Rd, Troy, Michigan, 48083</t>
        </is>
      </c>
      <c r="R8" s="6" t="inlineStr">
        <is>
          <t>Hui Wang, PA (2 spine)</t>
        </is>
      </c>
      <c r="S8" s="6" t="inlineStr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>
      <c r="A9" s="6" t="inlineStr">
        <is>
          <t>Sterling Physicians</t>
        </is>
      </c>
      <c r="B9" s="6" t="inlineStr">
        <is>
          <t>1972593499</t>
        </is>
      </c>
      <c r="C9" s="6" t="inlineStr">
        <is>
          <t>PCP</t>
        </is>
      </c>
      <c r="D9" s="6" t="inlineStr">
        <is>
          <t>Tier 1</t>
        </is>
      </c>
      <c r="E9" s="6" t="inlineStr">
        <is>
          <t>One Spine Patient</t>
        </is>
      </c>
      <c r="F9" s="6" t="n">
        <v>71</v>
      </c>
      <c r="G9" s="6" t="n">
        <v>1</v>
      </c>
      <c r="H9" s="6" t="inlineStr">
        <is>
          <t>0</t>
        </is>
      </c>
      <c r="I9" s="6" t="inlineStr">
        <is>
          <t>1</t>
        </is>
      </c>
      <c r="J9" s="6" t="inlineStr">
        <is>
          <t>2026-07-07</t>
        </is>
      </c>
      <c r="K9" s="6" t="inlineStr">
        <is>
          <t>2026-06-04</t>
        </is>
      </c>
      <c r="L9" s="6" t="inlineStr">
        <is>
          <t>42</t>
        </is>
      </c>
      <c r="M9" s="6" t="inlineStr">
        <is>
          <t>33</t>
        </is>
      </c>
      <c r="N9" s="6" t="inlineStr">
        <is>
          <t>14</t>
        </is>
      </c>
      <c r="O9" s="6" t="inlineStr">
        <is>
          <t>S-D03</t>
        </is>
      </c>
      <c r="P9" s="6" t="inlineStr">
        <is>
          <t>Sterling Heights</t>
        </is>
      </c>
      <c r="Q9" s="6" t="inlineStr">
        <is>
          <t>36040 Dequindre Road, Sterling Heights, Michigan, 48310</t>
        </is>
      </c>
      <c r="R9" s="6" t="inlineStr">
        <is>
          <t>James Burtka, MD (1 spine)</t>
        </is>
      </c>
      <c r="S9" s="6" t="inlineStr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>
      <c r="A10" s="6" t="inlineStr">
        <is>
          <t>Michigan Primary Care - Sterling Heights</t>
        </is>
      </c>
      <c r="B10" s="6" t="inlineStr">
        <is>
          <t>ce3b56cf-1381-41d0-b067-752448464958</t>
        </is>
      </c>
      <c r="C10" s="6" t="inlineStr">
        <is>
          <t>PCP</t>
        </is>
      </c>
      <c r="D10" s="6" t="inlineStr">
        <is>
          <t>Tier 1</t>
        </is>
      </c>
      <c r="E10" s="6" t="inlineStr">
        <is>
          <t>One Spine Patient</t>
        </is>
      </c>
      <c r="F10" s="6" t="n">
        <v>70</v>
      </c>
      <c r="G10" s="6" t="n">
        <v>1</v>
      </c>
      <c r="H10" s="6" t="inlineStr">
        <is>
          <t>0</t>
        </is>
      </c>
      <c r="I10" s="6" t="inlineStr">
        <is>
          <t>1</t>
        </is>
      </c>
      <c r="J10" s="6" t="inlineStr">
        <is>
          <t>2026-05-19</t>
        </is>
      </c>
      <c r="K10" s="6" t="inlineStr">
        <is>
          <t>2026-06-04</t>
        </is>
      </c>
      <c r="L10" s="6" t="inlineStr">
        <is>
          <t>42</t>
        </is>
      </c>
      <c r="M10" s="6" t="inlineStr">
        <is>
          <t>60</t>
        </is>
      </c>
      <c r="N10" s="6" t="inlineStr">
        <is>
          <t>14</t>
        </is>
      </c>
      <c r="O10" s="6" t="inlineStr">
        <is>
          <t>S-D01</t>
        </is>
      </c>
      <c r="P10" s="6" t="inlineStr">
        <is>
          <t>Sterling Heights</t>
        </is>
      </c>
      <c r="Q10" s="6" t="inlineStr">
        <is>
          <t>41400 Dequindre Rd, ste 121, Sterling Heights, Michigan, 48314</t>
        </is>
      </c>
      <c r="R10" s="6" t="inlineStr">
        <is>
          <t>Aleksandra Tasevski, NP (1 spine)</t>
        </is>
      </c>
      <c r="S10" s="6" t="inlineStr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>
      <c r="A11" s="6" t="inlineStr">
        <is>
          <t>Associates in Family Practice</t>
        </is>
      </c>
      <c r="B11" s="6" t="inlineStr">
        <is>
          <t>1205856432</t>
        </is>
      </c>
      <c r="C11" s="6" t="inlineStr">
        <is>
          <t>PCP</t>
        </is>
      </c>
      <c r="D11" s="6" t="inlineStr">
        <is>
          <t>Tier 1</t>
        </is>
      </c>
      <c r="E11" s="6" t="inlineStr">
        <is>
          <t>One Spine Patient</t>
        </is>
      </c>
      <c r="F11" s="6" t="n">
        <v>70</v>
      </c>
      <c r="G11" s="6" t="n">
        <v>1</v>
      </c>
      <c r="H11" s="6" t="inlineStr">
        <is>
          <t>1</t>
        </is>
      </c>
      <c r="I11" s="6" t="inlineStr">
        <is>
          <t>2</t>
        </is>
      </c>
      <c r="J11" s="6" t="inlineStr">
        <is>
          <t>2026-04-20</t>
        </is>
      </c>
      <c r="K11" s="6" t="inlineStr">
        <is>
          <t>2026-06-05</t>
        </is>
      </c>
      <c r="L11" s="6" t="inlineStr">
        <is>
          <t>41</t>
        </is>
      </c>
      <c r="M11" s="6" t="inlineStr">
        <is>
          <t>27</t>
        </is>
      </c>
      <c r="N11" s="6" t="inlineStr">
        <is>
          <t>14</t>
        </is>
      </c>
      <c r="O11" s="6" t="inlineStr">
        <is>
          <t>S-D01</t>
        </is>
      </c>
      <c r="P11" s="6" t="inlineStr">
        <is>
          <t>Sterling Heights</t>
        </is>
      </c>
      <c r="Q11" s="6" t="inlineStr">
        <is>
          <t>42755 Mound Rd, Sterling Heights, Michigan, 48314</t>
        </is>
      </c>
      <c r="R11" s="6" t="inlineStr">
        <is>
          <t>Fadi Oska, MD (1 spine)</t>
        </is>
      </c>
      <c r="S11" s="6" t="inlineStr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>
      <c r="A12" s="6" t="inlineStr">
        <is>
          <t>Schoenherr Parkway Family Practice</t>
        </is>
      </c>
      <c r="B12" s="6" t="inlineStr">
        <is>
          <t>62e680e9-a222-400d-9186-a369d13cf23f</t>
        </is>
      </c>
      <c r="C12" s="6" t="inlineStr">
        <is>
          <t>PCP</t>
        </is>
      </c>
      <c r="D12" s="6" t="inlineStr">
        <is>
          <t>Tier 1</t>
        </is>
      </c>
      <c r="E12" s="6" t="inlineStr">
        <is>
          <t>One Spine Patient</t>
        </is>
      </c>
      <c r="F12" s="6" t="n">
        <v>70</v>
      </c>
      <c r="G12" s="6" t="n">
        <v>1</v>
      </c>
      <c r="H12" s="6" t="inlineStr">
        <is>
          <t>2</t>
        </is>
      </c>
      <c r="I12" s="6" t="inlineStr">
        <is>
          <t>3</t>
        </is>
      </c>
      <c r="J12" s="6" t="inlineStr">
        <is>
          <t>2026-04-01</t>
        </is>
      </c>
      <c r="K12" s="6" t="inlineStr">
        <is>
          <t>2026-04-29</t>
        </is>
      </c>
      <c r="L12" s="6" t="inlineStr">
        <is>
          <t>78</t>
        </is>
      </c>
      <c r="M12" s="6" t="inlineStr">
        <is>
          <t>40</t>
        </is>
      </c>
      <c r="N12" s="6" t="inlineStr">
        <is>
          <t>14</t>
        </is>
      </c>
      <c r="O12" s="6" t="inlineStr">
        <is>
          <t>S-D01</t>
        </is>
      </c>
      <c r="P12" s="6" t="inlineStr">
        <is>
          <t>Sterling Heights</t>
        </is>
      </c>
      <c r="Q12" s="6" t="inlineStr">
        <is>
          <t>13951 Plumbrook, Sterling Heights, Michigan, 48312</t>
        </is>
      </c>
      <c r="R12" s="6" t="inlineStr">
        <is>
          <t>Mona Khater, MD (1 spine)</t>
        </is>
      </c>
      <c r="S12" s="6" t="inlineStr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>
      <c r="A13" s="6" t="inlineStr">
        <is>
          <t>Get Well Urgent Care - Sterling Heights</t>
        </is>
      </c>
      <c r="B13" s="6" t="inlineStr">
        <is>
          <t>1bcc2e23-5fc1-428c-ad41-dc35c5345bf7</t>
        </is>
      </c>
      <c r="C13" s="6" t="inlineStr">
        <is>
          <t>Urgent Care</t>
        </is>
      </c>
      <c r="D13" s="6" t="inlineStr">
        <is>
          <t>Tier 1</t>
        </is>
      </c>
      <c r="E13" s="6" t="inlineStr">
        <is>
          <t>One Spine Patient</t>
        </is>
      </c>
      <c r="F13" s="6" t="n">
        <v>70</v>
      </c>
      <c r="G13" s="6" t="n">
        <v>1</v>
      </c>
      <c r="H13" s="6" t="inlineStr">
        <is>
          <t>1</t>
        </is>
      </c>
      <c r="I13" s="6" t="inlineStr">
        <is>
          <t>2</t>
        </is>
      </c>
      <c r="J13" s="6" t="inlineStr">
        <is>
          <t>2026-05-26</t>
        </is>
      </c>
      <c r="K13" s="6" t="inlineStr">
        <is>
          <t>2026-06-04</t>
        </is>
      </c>
      <c r="L13" s="6" t="inlineStr">
        <is>
          <t>42</t>
        </is>
      </c>
      <c r="M13" s="6" t="inlineStr">
        <is>
          <t>59</t>
        </is>
      </c>
      <c r="N13" s="6" t="inlineStr">
        <is>
          <t>14</t>
        </is>
      </c>
      <c r="O13" s="6" t="inlineStr">
        <is>
          <t>S-D02</t>
        </is>
      </c>
      <c r="P13" s="6" t="inlineStr">
        <is>
          <t>Sterling Heights</t>
        </is>
      </c>
      <c r="Q13" s="6" t="inlineStr">
        <is>
          <t>2567 Metro Parkway, Sterling Heights, Michigan, 48310</t>
        </is>
      </c>
      <c r="R13" s="6" t="inlineStr">
        <is>
          <t>Get Well Urgent Care Of Sterling Heights (1 spine) · Get Well Urgent Care - Sterling Heights (1 ortho)</t>
        </is>
      </c>
      <c r="S13" s="6" t="inlineStr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>
      <c r="A14" s="6" t="inlineStr">
        <is>
          <t>Kashat Urgent care</t>
        </is>
      </c>
      <c r="B14" s="6" t="inlineStr">
        <is>
          <t>0b9485b1-39bd-4f21-8222-387834af8472</t>
        </is>
      </c>
      <c r="C14" s="6" t="inlineStr">
        <is>
          <t>Urgent Care</t>
        </is>
      </c>
      <c r="D14" s="6" t="inlineStr">
        <is>
          <t>Tier 1</t>
        </is>
      </c>
      <c r="E14" s="6" t="inlineStr">
        <is>
          <t>One Spine Patient</t>
        </is>
      </c>
      <c r="F14" s="6" t="n">
        <v>70</v>
      </c>
      <c r="G14" s="6" t="n">
        <v>1</v>
      </c>
      <c r="H14" s="6" t="inlineStr">
        <is>
          <t>0</t>
        </is>
      </c>
      <c r="I14" s="6" t="inlineStr">
        <is>
          <t>1</t>
        </is>
      </c>
      <c r="J14" s="6" t="inlineStr">
        <is>
          <t>2026-06-03</t>
        </is>
      </c>
      <c r="K14" s="6" t="inlineStr">
        <is>
          <t>2026-06-04</t>
        </is>
      </c>
      <c r="L14" s="6" t="inlineStr">
        <is>
          <t>42</t>
        </is>
      </c>
      <c r="M14" s="6" t="inlineStr">
        <is>
          <t>75</t>
        </is>
      </c>
      <c r="N14" s="6" t="inlineStr">
        <is>
          <t>14</t>
        </is>
      </c>
      <c r="O14" s="6" t="inlineStr">
        <is>
          <t>S-D03</t>
        </is>
      </c>
      <c r="P14" s="6" t="inlineStr">
        <is>
          <t>Sterling Heights</t>
        </is>
      </c>
      <c r="Q14" s="6" t="inlineStr">
        <is>
          <t>35200 Dequindre Road, Sterling Heights, Michigan, 48310</t>
        </is>
      </c>
      <c r="R14" s="6" t="inlineStr">
        <is>
          <t>Ghazawan K Kashat, MD (1 spine)</t>
        </is>
      </c>
      <c r="S14" s="6" t="inlineStr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>
      <c r="A15" s="6" t="inlineStr">
        <is>
          <t>Cornerstone Lakefront Internists</t>
        </is>
      </c>
      <c r="B15" s="6" t="inlineStr">
        <is>
          <t>16c0ac85-6d3c-4c74-97b4-385a2a7fac00</t>
        </is>
      </c>
      <c r="C15" s="6" t="inlineStr">
        <is>
          <t>PCP</t>
        </is>
      </c>
      <c r="D15" s="6" t="inlineStr">
        <is>
          <t>Tier 1</t>
        </is>
      </c>
      <c r="E15" s="6" t="inlineStr">
        <is>
          <t>One Spine Patient</t>
        </is>
      </c>
      <c r="F15" s="6" t="n">
        <v>70</v>
      </c>
      <c r="G15" s="6" t="n">
        <v>1</v>
      </c>
      <c r="H15" s="6" t="inlineStr">
        <is>
          <t>0</t>
        </is>
      </c>
      <c r="I15" s="6" t="inlineStr">
        <is>
          <t>1</t>
        </is>
      </c>
      <c r="J15" s="6" t="inlineStr">
        <is>
          <t>2026-02-10</t>
        </is>
      </c>
      <c r="K15" s="6" t="inlineStr">
        <is>
          <t>2026-04-27</t>
        </is>
      </c>
      <c r="L15" s="6" t="inlineStr">
        <is>
          <t>80</t>
        </is>
      </c>
      <c r="M15" s="6" t="inlineStr">
        <is>
          <t>95</t>
        </is>
      </c>
      <c r="N15" s="6" t="inlineStr">
        <is>
          <t>14</t>
        </is>
      </c>
      <c r="O15" s="6" t="inlineStr">
        <is>
          <t>S-D04</t>
        </is>
      </c>
      <c r="P15" s="6" t="inlineStr">
        <is>
          <t>St. Clair Shores</t>
        </is>
      </c>
      <c r="Q15" s="6" t="inlineStr">
        <is>
          <t>20952 Twelve Mile Rd ste 101, St. Clair Shores, Michigan, 48081</t>
        </is>
      </c>
      <c r="R15" s="6" t="inlineStr">
        <is>
          <t>Benjamin Osowa, MD (1 spine)</t>
        </is>
      </c>
      <c r="S15" s="6" t="inlineStr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>
      <c r="A16" s="6" t="inlineStr">
        <is>
          <t>Henry Ford Medical Center - East Jefferson</t>
        </is>
      </c>
      <c r="B16" s="6" t="inlineStr">
        <is>
          <t>1043384555</t>
        </is>
      </c>
      <c r="C16" s="6" t="inlineStr">
        <is>
          <t>PCP</t>
        </is>
      </c>
      <c r="D16" s="6" t="inlineStr">
        <is>
          <t>Tier 1</t>
        </is>
      </c>
      <c r="E16" s="6" t="inlineStr">
        <is>
          <t>One Spine Patient</t>
        </is>
      </c>
      <c r="F16" s="6" t="n">
        <v>70</v>
      </c>
      <c r="G16" s="6" t="n">
        <v>1</v>
      </c>
      <c r="H16" s="6" t="inlineStr">
        <is>
          <t>1</t>
        </is>
      </c>
      <c r="I16" s="6" t="inlineStr">
        <is>
          <t>2</t>
        </is>
      </c>
      <c r="J16" s="6" t="inlineStr">
        <is>
          <t>2026-06-01</t>
        </is>
      </c>
      <c r="K16" s="6" t="inlineStr">
        <is>
          <t>2026-04-27</t>
        </is>
      </c>
      <c r="L16" s="6" t="inlineStr">
        <is>
          <t>80</t>
        </is>
      </c>
      <c r="M16" s="6" t="inlineStr">
        <is>
          <t>42.5</t>
        </is>
      </c>
      <c r="N16" s="6" t="inlineStr">
        <is>
          <t>14</t>
        </is>
      </c>
      <c r="O16" s="6" t="inlineStr">
        <is>
          <t>S-D04</t>
        </is>
      </c>
      <c r="P16" s="6" t="inlineStr">
        <is>
          <t>Saint Clair Shores</t>
        </is>
      </c>
      <c r="Q16" s="6" t="inlineStr">
        <is>
          <t>24725 E Jefferson, Saint Clair Shores, MI, 48080</t>
        </is>
      </c>
      <c r="R16" s="6" t="inlineStr">
        <is>
          <t>Eshel Turk, MD (1 spine)</t>
        </is>
      </c>
      <c r="S16" s="6" t="inlineStr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>
      <c r="A17" s="6" t="inlineStr">
        <is>
          <t>DIAB AND KINNER INTERNAL MEDICINE, PC- use</t>
        </is>
      </c>
      <c r="B17" s="6" t="inlineStr">
        <is>
          <t>954353cc-a941-4b77-90f3-f3fb1c62e161</t>
        </is>
      </c>
      <c r="C17" s="6" t="inlineStr">
        <is>
          <t>PCP</t>
        </is>
      </c>
      <c r="D17" s="6" t="inlineStr">
        <is>
          <t>Tier 1</t>
        </is>
      </c>
      <c r="E17" s="6" t="inlineStr">
        <is>
          <t>One Spine Patient</t>
        </is>
      </c>
      <c r="F17" s="6" t="n">
        <v>69</v>
      </c>
      <c r="G17" s="6" t="n">
        <v>1</v>
      </c>
      <c r="H17" s="6" t="inlineStr">
        <is>
          <t>0</t>
        </is>
      </c>
      <c r="I17" s="6" t="inlineStr">
        <is>
          <t>1</t>
        </is>
      </c>
      <c r="J17" s="6" t="inlineStr">
        <is>
          <t>2026-01-15</t>
        </is>
      </c>
      <c r="K17" s="6" t="inlineStr">
        <is>
          <t>2026-03-24</t>
        </is>
      </c>
      <c r="L17" s="6" t="inlineStr">
        <is>
          <t>114</t>
        </is>
      </c>
      <c r="M17" s="6" t="inlineStr">
        <is>
          <t>0</t>
        </is>
      </c>
      <c r="N17" s="6" t="inlineStr">
        <is>
          <t>14</t>
        </is>
      </c>
      <c r="O17" s="6" t="inlineStr">
        <is>
          <t>S-D02</t>
        </is>
      </c>
      <c r="P17" s="6" t="inlineStr">
        <is>
          <t>WARREN</t>
        </is>
      </c>
      <c r="Q17" s="6" t="inlineStr">
        <is>
          <t>29703 HOOVER RD STE A, WARREN, Michigan, 48093</t>
        </is>
      </c>
      <c r="R17" s="6" t="inlineStr">
        <is>
          <t>Carolann Kinner, DO (1 spine)</t>
        </is>
      </c>
      <c r="S17" s="6" t="inlineStr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>
      <c r="A18" s="6" t="inlineStr">
        <is>
          <t>Berkley Urgent Care</t>
        </is>
      </c>
      <c r="B18" s="6" t="inlineStr">
        <is>
          <t>1774d7c7-2d8b-42c6-9dac-78c2a9cf3ed8</t>
        </is>
      </c>
      <c r="C18" s="6" t="inlineStr">
        <is>
          <t>Urgent Care</t>
        </is>
      </c>
      <c r="D18" s="6" t="inlineStr">
        <is>
          <t>Tier 1</t>
        </is>
      </c>
      <c r="E18" s="6" t="inlineStr">
        <is>
          <t>One Spine Patient</t>
        </is>
      </c>
      <c r="F18" s="6" t="n">
        <v>69</v>
      </c>
      <c r="G18" s="6" t="n">
        <v>1</v>
      </c>
      <c r="H18" s="6" t="inlineStr">
        <is>
          <t>1</t>
        </is>
      </c>
      <c r="I18" s="6" t="inlineStr">
        <is>
          <t>3</t>
        </is>
      </c>
      <c r="J18" s="6" t="inlineStr">
        <is>
          <t>2026-05-21</t>
        </is>
      </c>
      <c r="K18" s="6" t="inlineStr">
        <is>
          <t>2026-03-23</t>
        </is>
      </c>
      <c r="L18" s="6" t="inlineStr">
        <is>
          <t>115</t>
        </is>
      </c>
      <c r="M18" s="6" t="inlineStr">
        <is>
          <t>31</t>
        </is>
      </c>
      <c r="N18" s="6" t="inlineStr">
        <is>
          <t>14</t>
        </is>
      </c>
      <c r="O18" s="6" t="inlineStr">
        <is>
          <t>S-D03</t>
        </is>
      </c>
      <c r="P18" s="6" t="inlineStr">
        <is>
          <t>Berkley</t>
        </is>
      </c>
      <c r="Q18" s="6" t="inlineStr">
        <is>
          <t>3270 Greenfield Rd, Berkley, Michigan, 48072</t>
        </is>
      </c>
      <c r="R18" s="6" t="inlineStr">
        <is>
          <t>Berkley Urgent Care (1 spine)</t>
        </is>
      </c>
      <c r="S18" s="6" t="inlineStr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>
      <c r="A19" s="6" t="inlineStr">
        <is>
          <t>Tri-County Medical Clinic</t>
        </is>
      </c>
      <c r="B19" s="6" t="inlineStr">
        <is>
          <t>1386634749</t>
        </is>
      </c>
      <c r="C19" s="6" t="inlineStr">
        <is>
          <t>PCP</t>
        </is>
      </c>
      <c r="D19" s="6" t="inlineStr">
        <is>
          <t>Tier 1</t>
        </is>
      </c>
      <c r="E19" s="6" t="inlineStr">
        <is>
          <t>One Spine Patient</t>
        </is>
      </c>
      <c r="F19" s="6" t="n">
        <v>69</v>
      </c>
      <c r="G19" s="6" t="n">
        <v>1</v>
      </c>
      <c r="H19" s="6" t="inlineStr">
        <is>
          <t>1</t>
        </is>
      </c>
      <c r="I19" s="6" t="inlineStr">
        <is>
          <t>2</t>
        </is>
      </c>
      <c r="J19" s="6" t="inlineStr">
        <is>
          <t>2026-02-03</t>
        </is>
      </c>
      <c r="K19" s="6" t="inlineStr">
        <is>
          <t>2026-04-01</t>
        </is>
      </c>
      <c r="L19" s="6" t="inlineStr">
        <is>
          <t>106</t>
        </is>
      </c>
      <c r="M19" s="6" t="inlineStr">
        <is>
          <t>25.5</t>
        </is>
      </c>
      <c r="N19" s="6" t="inlineStr">
        <is>
          <t>14</t>
        </is>
      </c>
      <c r="O19" s="6" t="inlineStr">
        <is>
          <t>S-D03</t>
        </is>
      </c>
      <c r="P19" s="6" t="inlineStr">
        <is>
          <t>Sterling Heights</t>
        </is>
      </c>
      <c r="Q19" s="6" t="inlineStr">
        <is>
          <t>37450 DeQuindre Rd, Sterling Heights, MI, 48310</t>
        </is>
      </c>
      <c r="R19" s="6" t="inlineStr">
        <is>
          <t>Kenneth J Wolok Do (1 spine) · Jeffrey S Deitch, DO (1 ortho)</t>
        </is>
      </c>
      <c r="S19" s="6" t="inlineStr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>
      <c r="A20" s="6" t="inlineStr">
        <is>
          <t>Michigan Adult and Child Medicine</t>
        </is>
      </c>
      <c r="B20" s="6" t="inlineStr">
        <is>
          <t>1700860103</t>
        </is>
      </c>
      <c r="C20" s="6" t="inlineStr">
        <is>
          <t>PCP</t>
        </is>
      </c>
      <c r="D20" s="6" t="inlineStr">
        <is>
          <t>Tier 2</t>
        </is>
      </c>
      <c r="E20" s="6" t="inlineStr">
        <is>
          <t>Ortho Referrer</t>
        </is>
      </c>
      <c r="F20" s="6" t="n">
        <v>56</v>
      </c>
      <c r="G20" s="6" t="n">
        <v>0</v>
      </c>
      <c r="H20" s="6" t="inlineStr">
        <is>
          <t>4</t>
        </is>
      </c>
      <c r="I20" s="6" t="inlineStr">
        <is>
          <t>4</t>
        </is>
      </c>
      <c r="J20" s="6" t="inlineStr">
        <is>
          <t>2026-07-09</t>
        </is>
      </c>
      <c r="K20" s="6" t="inlineStr">
        <is>
          <t>2026-03-24</t>
        </is>
      </c>
      <c r="L20" s="6" t="inlineStr">
        <is>
          <t>114</t>
        </is>
      </c>
      <c r="M20" s="6" t="inlineStr">
        <is>
          <t>60.5</t>
        </is>
      </c>
      <c r="N20" s="6" t="inlineStr">
        <is>
          <t>21</t>
        </is>
      </c>
      <c r="O20" s="6" t="inlineStr">
        <is>
          <t>S-D02</t>
        </is>
      </c>
      <c r="P20" s="6" t="inlineStr">
        <is>
          <t>Warren</t>
        </is>
      </c>
      <c r="Q20" s="6" t="inlineStr">
        <is>
          <t>11885 E. 12 Mile Rd, Ste 100A, Warren, Michigan, 48093</t>
        </is>
      </c>
      <c r="R20" s="6" t="inlineStr">
        <is>
          <t>Renee Y Paye, MD (2 ortho) · John Byrne, MD (1 ortho) · Jeffrey Fisher, MD (1 ortho)</t>
        </is>
      </c>
      <c r="S20" s="6" t="inlineStr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>
      <c r="A21" s="6" t="inlineStr">
        <is>
          <t>Sterling Heights Urgent Care</t>
        </is>
      </c>
      <c r="B21" s="6" t="inlineStr">
        <is>
          <t>719fbbb9-0131-4ed6-bfd7-14646d9c41fb</t>
        </is>
      </c>
      <c r="C21" s="6" t="inlineStr">
        <is>
          <t>Urgent Care</t>
        </is>
      </c>
      <c r="D21" s="6" t="inlineStr">
        <is>
          <t>Tier 2</t>
        </is>
      </c>
      <c r="E21" s="6" t="inlineStr">
        <is>
          <t>Ortho Referrer</t>
        </is>
      </c>
      <c r="F21" s="6" t="n">
        <v>51</v>
      </c>
      <c r="G21" s="6" t="n">
        <v>0</v>
      </c>
      <c r="H21" s="6" t="inlineStr">
        <is>
          <t>2</t>
        </is>
      </c>
      <c r="I21" s="6" t="inlineStr">
        <is>
          <t>3</t>
        </is>
      </c>
      <c r="J21" s="6" t="inlineStr">
        <is>
          <t>2026-04-17</t>
        </is>
      </c>
      <c r="K21" s="6" t="inlineStr">
        <is>
          <t>2026-04-29</t>
        </is>
      </c>
      <c r="L21" s="6" t="inlineStr">
        <is>
          <t>78</t>
        </is>
      </c>
      <c r="M21" s="6" t="inlineStr">
        <is>
          <t>25</t>
        </is>
      </c>
      <c r="N21" s="6" t="inlineStr">
        <is>
          <t>21</t>
        </is>
      </c>
      <c r="O21" s="6" t="inlineStr">
        <is>
          <t>S-D01</t>
        </is>
      </c>
      <c r="P21" s="6" t="inlineStr">
        <is>
          <t>Sterling Heights</t>
        </is>
      </c>
      <c r="Q21" s="6" t="inlineStr">
        <is>
          <t>37771 Schoenherr Rd Suite 102, Sterling Heights, MI 48312, United States, Sterling Heights, Michigan, 48312</t>
        </is>
      </c>
      <c r="R21" s="6" t="inlineStr">
        <is>
          <t>Sterling Heights Urgent Care (2 ortho)</t>
        </is>
      </c>
      <c r="S21" s="6" t="inlineStr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>
      <c r="A22" s="6" t="inlineStr">
        <is>
          <t>Pioneer Medical Associates - Warren</t>
        </is>
      </c>
      <c r="B22" s="6" t="inlineStr">
        <is>
          <t>1750481842</t>
        </is>
      </c>
      <c r="C22" s="6" t="inlineStr">
        <is>
          <t>PCP</t>
        </is>
      </c>
      <c r="D22" s="6" t="inlineStr">
        <is>
          <t>Tier 2</t>
        </is>
      </c>
      <c r="E22" s="6" t="inlineStr">
        <is>
          <t>Ortho Referrer</t>
        </is>
      </c>
      <c r="F22" s="6" t="n">
        <v>51</v>
      </c>
      <c r="G22" s="6" t="n">
        <v>0</v>
      </c>
      <c r="H22" s="6" t="inlineStr">
        <is>
          <t>2</t>
        </is>
      </c>
      <c r="I22" s="6" t="inlineStr">
        <is>
          <t>2</t>
        </is>
      </c>
      <c r="J22" s="6" t="inlineStr">
        <is>
          <t>2026-03-18</t>
        </is>
      </c>
      <c r="K22" s="6" t="inlineStr">
        <is>
          <t>2026-05-21</t>
        </is>
      </c>
      <c r="L22" s="6" t="inlineStr">
        <is>
          <t>56</t>
        </is>
      </c>
      <c r="M22" s="6" t="inlineStr">
        <is>
          <t>31</t>
        </is>
      </c>
      <c r="N22" s="6" t="inlineStr">
        <is>
          <t>21</t>
        </is>
      </c>
      <c r="O22" s="6" t="inlineStr">
        <is>
          <t>S-D02</t>
        </is>
      </c>
      <c r="P22" s="6" t="inlineStr">
        <is>
          <t>Warren</t>
        </is>
      </c>
      <c r="Q22" s="6" t="inlineStr">
        <is>
          <t>27540 Hoover Rd, Warren, MI, 480934505</t>
        </is>
      </c>
      <c r="R22" s="6" t="inlineStr">
        <is>
          <t>Srinivas Koneru (1 ortho) · Robert Marcotte (1 ortho)</t>
        </is>
      </c>
      <c r="S22" s="6" t="inlineStr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>
      <c r="A23" s="6" t="inlineStr">
        <is>
          <t>Downriver Internists</t>
        </is>
      </c>
      <c r="B23" s="6" t="inlineStr">
        <is>
          <t>1992798961</t>
        </is>
      </c>
      <c r="C23" s="6" t="inlineStr">
        <is>
          <t>PCP</t>
        </is>
      </c>
      <c r="D23" s="6" t="inlineStr">
        <is>
          <t>Tier 2</t>
        </is>
      </c>
      <c r="E23" s="6" t="inlineStr">
        <is>
          <t>Ortho Referrer</t>
        </is>
      </c>
      <c r="F23" s="6" t="n">
        <v>50</v>
      </c>
      <c r="G23" s="6" t="n">
        <v>0</v>
      </c>
      <c r="H23" s="6" t="inlineStr">
        <is>
          <t>2</t>
        </is>
      </c>
      <c r="I23" s="6" t="inlineStr">
        <is>
          <t>2</t>
        </is>
      </c>
      <c r="J23" s="6" t="inlineStr">
        <is>
          <t>2026-05-14</t>
        </is>
      </c>
      <c r="K23" s="6" t="inlineStr">
        <is>
          <t>2026-04-22</t>
        </is>
      </c>
      <c r="L23" s="6" t="inlineStr">
        <is>
          <t>85</t>
        </is>
      </c>
      <c r="M23" s="6" t="inlineStr">
        <is>
          <t>20.5</t>
        </is>
      </c>
      <c r="N23" s="6" t="inlineStr">
        <is>
          <t>21</t>
        </is>
      </c>
      <c r="O23" s="6" t="inlineStr">
        <is>
          <t>S-D03</t>
        </is>
      </c>
      <c r="P23" s="6" t="inlineStr">
        <is>
          <t>Oak Park</t>
        </is>
      </c>
      <c r="Q23" s="6" t="inlineStr">
        <is>
          <t>13801 W 9 Mile Rd, Oak Park, MI, 48237</t>
        </is>
      </c>
      <c r="R23" s="6" t="inlineStr">
        <is>
          <t>Srinivas Gatla, MD (2 ortho)</t>
        </is>
      </c>
      <c r="S23" s="6" t="inlineStr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>
      <c r="A24" s="6" t="inlineStr">
        <is>
          <t>Roseville Family Practice</t>
        </is>
      </c>
      <c r="B24" s="6" t="inlineStr">
        <is>
          <t>c96dc780-a933-4f9f-aaa3-e1da22d0f35e</t>
        </is>
      </c>
      <c r="C24" s="6" t="inlineStr">
        <is>
          <t>PCP</t>
        </is>
      </c>
      <c r="D24" s="6" t="inlineStr">
        <is>
          <t>Tier 2</t>
        </is>
      </c>
      <c r="E24" s="6" t="inlineStr">
        <is>
          <t>Ortho Referrer</t>
        </is>
      </c>
      <c r="F24" s="6" t="n">
        <v>50</v>
      </c>
      <c r="G24" s="6" t="n">
        <v>0</v>
      </c>
      <c r="H24" s="6" t="inlineStr">
        <is>
          <t>2</t>
        </is>
      </c>
      <c r="I24" s="6" t="inlineStr">
        <is>
          <t>2</t>
        </is>
      </c>
      <c r="J24" s="6" t="inlineStr">
        <is>
          <t>2026-02-02</t>
        </is>
      </c>
      <c r="K24" s="6" t="inlineStr">
        <is>
          <t>2026-03-12</t>
        </is>
      </c>
      <c r="L24" s="6" t="inlineStr">
        <is>
          <t>126</t>
        </is>
      </c>
      <c r="M24" s="6" t="inlineStr">
        <is>
          <t>17</t>
        </is>
      </c>
      <c r="N24" s="6" t="inlineStr">
        <is>
          <t>21</t>
        </is>
      </c>
      <c r="O24" s="6" t="inlineStr">
        <is>
          <t>S-D04</t>
        </is>
      </c>
      <c r="P24" s="6" t="inlineStr">
        <is>
          <t>Warren</t>
        </is>
      </c>
      <c r="Q24" s="6" t="inlineStr">
        <is>
          <t>28295 Schoenherr Road Suite C, Warren, Michigan, 48088</t>
        </is>
      </c>
      <c r="R24" s="6" t="inlineStr">
        <is>
          <t>Mark Holowinski, MD (2 ortho)</t>
        </is>
      </c>
      <c r="S24" s="6" t="inlineStr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>
      <c r="A25" s="6" t="inlineStr">
        <is>
          <t>David S Weingarden MD &amp; Associates</t>
        </is>
      </c>
      <c r="B25" s="6" t="inlineStr">
        <is>
          <t>ec2dcadc-ce63-4324-aea0-52ae2b2bdd91</t>
        </is>
      </c>
      <c r="C25" s="6" t="inlineStr">
        <is>
          <t>Orthopedic</t>
        </is>
      </c>
      <c r="D25" s="6" t="inlineStr">
        <is>
          <t>Tier 2</t>
        </is>
      </c>
      <c r="E25" s="6" t="inlineStr">
        <is>
          <t>Ortho Referrer</t>
        </is>
      </c>
      <c r="F25" s="6" t="n">
        <v>46</v>
      </c>
      <c r="G25" s="6" t="n">
        <v>0</v>
      </c>
      <c r="H25" s="6" t="inlineStr">
        <is>
          <t>1</t>
        </is>
      </c>
      <c r="I25" s="6" t="inlineStr">
        <is>
          <t>1</t>
        </is>
      </c>
      <c r="J25" s="6" t="inlineStr">
        <is>
          <t>2026-05-29</t>
        </is>
      </c>
      <c r="K25" s="6" t="inlineStr">
        <is>
          <t>2026-03-26</t>
        </is>
      </c>
      <c r="L25" s="6" t="inlineStr">
        <is>
          <t>112</t>
        </is>
      </c>
      <c r="M25" s="6" t="inlineStr">
        <is>
          <t>64</t>
        </is>
      </c>
      <c r="N25" s="6" t="inlineStr">
        <is>
          <t>21</t>
        </is>
      </c>
      <c r="O25" s="6" t="inlineStr">
        <is>
          <t>S-D01</t>
        </is>
      </c>
      <c r="P25" s="6" t="inlineStr">
        <is>
          <t>Clinton Township</t>
        </is>
      </c>
      <c r="Q25" s="6" t="inlineStr">
        <is>
          <t>43555 Dalcoma Dr suite 4 Clinton Twp, Clinton Township, Michigan, 48038</t>
        </is>
      </c>
      <c r="R25" s="6" t="inlineStr">
        <is>
          <t>David Davis, MD (1 ortho)</t>
        </is>
      </c>
      <c r="S25" s="6" t="inlineStr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>
      <c r="A26" s="6" t="inlineStr">
        <is>
          <t>Get Well Urgent Care - Warren</t>
        </is>
      </c>
      <c r="B26" s="6" t="inlineStr">
        <is>
          <t>8ae19fc3-b1ab-4f35-ab71-b73d93833918</t>
        </is>
      </c>
      <c r="C26" s="6" t="inlineStr">
        <is>
          <t>Urgent Care</t>
        </is>
      </c>
      <c r="D26" s="6" t="inlineStr">
        <is>
          <t>Tier 2</t>
        </is>
      </c>
      <c r="E26" s="6" t="inlineStr">
        <is>
          <t>Ortho Referrer</t>
        </is>
      </c>
      <c r="F26" s="6" t="n">
        <v>46</v>
      </c>
      <c r="G26" s="6" t="n">
        <v>0</v>
      </c>
      <c r="H26" s="6" t="inlineStr">
        <is>
          <t>1</t>
        </is>
      </c>
      <c r="I26" s="6" t="inlineStr">
        <is>
          <t>1</t>
        </is>
      </c>
      <c r="J26" s="6" t="inlineStr">
        <is>
          <t>2026-05-01</t>
        </is>
      </c>
      <c r="K26" s="6" t="inlineStr">
        <is>
          <t>2026-04-24</t>
        </is>
      </c>
      <c r="L26" s="6" t="inlineStr">
        <is>
          <t>83</t>
        </is>
      </c>
      <c r="M26" s="6" t="inlineStr">
        <is>
          <t>7</t>
        </is>
      </c>
      <c r="N26" s="6" t="inlineStr">
        <is>
          <t>21</t>
        </is>
      </c>
      <c r="O26" s="6" t="inlineStr">
        <is>
          <t>S-D02</t>
        </is>
      </c>
      <c r="P26" s="6" t="inlineStr">
        <is>
          <t>Warren</t>
        </is>
      </c>
      <c r="Q26" s="6" t="inlineStr">
        <is>
          <t>26000 Hoover Rd, Warren, Michigan, 48089</t>
        </is>
      </c>
      <c r="R26" s="6" t="inlineStr">
        <is>
          <t>Get Well Urgent Care Warren (1 ortho)</t>
        </is>
      </c>
      <c r="S26" s="6" t="inlineStr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>
      <c r="A27" s="6" t="inlineStr">
        <is>
          <t>Elite Family Medicine</t>
        </is>
      </c>
      <c r="B27" s="6" t="inlineStr">
        <is>
          <t>3b700a13-2f3b-4e83-bd1f-61bd1cca19e6</t>
        </is>
      </c>
      <c r="C27" s="6" t="inlineStr">
        <is>
          <t>PCP</t>
        </is>
      </c>
      <c r="D27" s="6" t="inlineStr">
        <is>
          <t>Tier 2</t>
        </is>
      </c>
      <c r="E27" s="6" t="inlineStr">
        <is>
          <t>Ortho Referrer</t>
        </is>
      </c>
      <c r="F27" s="6" t="n">
        <v>46</v>
      </c>
      <c r="G27" s="6" t="n">
        <v>0</v>
      </c>
      <c r="H27" s="6" t="inlineStr">
        <is>
          <t>1</t>
        </is>
      </c>
      <c r="I27" s="6" t="inlineStr">
        <is>
          <t>1</t>
        </is>
      </c>
      <c r="J27" s="6" t="inlineStr">
        <is>
          <t>2026-03-16</t>
        </is>
      </c>
      <c r="K27" s="6" t="inlineStr">
        <is>
          <t>2026-06-04</t>
        </is>
      </c>
      <c r="L27" s="6" t="inlineStr">
        <is>
          <t>42</t>
        </is>
      </c>
      <c r="M27" s="6" t="inlineStr">
        <is>
          <t>47</t>
        </is>
      </c>
      <c r="N27" s="6" t="inlineStr">
        <is>
          <t>21</t>
        </is>
      </c>
      <c r="O27" s="6" t="inlineStr">
        <is>
          <t>S-D03</t>
        </is>
      </c>
      <c r="P27" s="6" t="inlineStr">
        <is>
          <t>Sterling Heights</t>
        </is>
      </c>
      <c r="Q27" s="6" t="inlineStr">
        <is>
          <t>33200 Dequindre Rd, Sterling Heights, Michigan, 48310</t>
        </is>
      </c>
      <c r="R27" s="6" t="inlineStr">
        <is>
          <t>Maha Hasso, MD (1 ortho)</t>
        </is>
      </c>
      <c r="S27" s="6" t="inlineStr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6" t="inlineStr">
        <is>
          <t>Wattles Internal Medicine- use</t>
        </is>
      </c>
      <c r="B28" s="6" t="inlineStr">
        <is>
          <t>ea9682a6-09ea-4d32-a71d-171ffffb7847</t>
        </is>
      </c>
      <c r="C28" s="6" t="inlineStr">
        <is>
          <t>PCP</t>
        </is>
      </c>
      <c r="D28" s="6" t="inlineStr">
        <is>
          <t>Tier 2</t>
        </is>
      </c>
      <c r="E28" s="6" t="inlineStr">
        <is>
          <t>Ortho Referrer</t>
        </is>
      </c>
      <c r="F28" s="6" t="n">
        <v>46</v>
      </c>
      <c r="G28" s="6" t="n">
        <v>0</v>
      </c>
      <c r="H28" s="6" t="inlineStr">
        <is>
          <t>1</t>
        </is>
      </c>
      <c r="I28" s="6" t="inlineStr">
        <is>
          <t>1</t>
        </is>
      </c>
      <c r="J28" s="6" t="inlineStr">
        <is>
          <t>2026-07-07</t>
        </is>
      </c>
      <c r="K28" s="6" t="inlineStr">
        <is>
          <t>2026-06-05</t>
        </is>
      </c>
      <c r="L28" s="6" t="inlineStr">
        <is>
          <t>41</t>
        </is>
      </c>
      <c r="M28" s="6" t="inlineStr">
        <is>
          <t>32</t>
        </is>
      </c>
      <c r="N28" s="6" t="inlineStr">
        <is>
          <t>21</t>
        </is>
      </c>
      <c r="O28" s="6" t="inlineStr">
        <is>
          <t>S-D03</t>
        </is>
      </c>
      <c r="P28" s="6" t="inlineStr">
        <is>
          <t>Troy</t>
        </is>
      </c>
      <c r="Q28" s="6" t="inlineStr">
        <is>
          <t>1950 E Wattles Rd suite 101, Troy, Michigan, 48085</t>
        </is>
      </c>
      <c r="R28" s="6" t="inlineStr">
        <is>
          <t>Mark Zohoury, DO (1 ortho)</t>
        </is>
      </c>
      <c r="S28" s="6" t="inlineStr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>
      <c r="A29" s="6" t="inlineStr">
        <is>
          <t>MyCare Health Center - Mt Clemens</t>
        </is>
      </c>
      <c r="B29" s="6" t="inlineStr">
        <is>
          <t>1427049683</t>
        </is>
      </c>
      <c r="C29" s="6" t="inlineStr">
        <is>
          <t>PCP</t>
        </is>
      </c>
      <c r="D29" s="6" t="inlineStr">
        <is>
          <t>Tier 2</t>
        </is>
      </c>
      <c r="E29" s="6" t="inlineStr">
        <is>
          <t>Ortho Referrer</t>
        </is>
      </c>
      <c r="F29" s="6" t="n">
        <v>46</v>
      </c>
      <c r="G29" s="6" t="n">
        <v>0</v>
      </c>
      <c r="H29" s="6" t="inlineStr">
        <is>
          <t>1</t>
        </is>
      </c>
      <c r="I29" s="6" t="inlineStr">
        <is>
          <t>1</t>
        </is>
      </c>
      <c r="J29" s="6" t="inlineStr">
        <is>
          <t>2026-04-27</t>
        </is>
      </c>
      <c r="K29" s="6" t="inlineStr">
        <is>
          <t>2026-05-14</t>
        </is>
      </c>
      <c r="L29" s="6" t="inlineStr">
        <is>
          <t>63</t>
        </is>
      </c>
      <c r="M29" s="6" t="inlineStr">
        <is>
          <t>84</t>
        </is>
      </c>
      <c r="N29" s="6" t="inlineStr">
        <is>
          <t>21</t>
        </is>
      </c>
      <c r="O29" s="6" t="inlineStr">
        <is>
          <t>S-D04</t>
        </is>
      </c>
      <c r="P29" s="6" t="inlineStr">
        <is>
          <t>Mount Clemens</t>
        </is>
      </c>
      <c r="Q29" s="6" t="inlineStr">
        <is>
          <t>18 Market Street, ste C, Mount Clemens, MI, 48043</t>
        </is>
      </c>
      <c r="R29" s="6" t="inlineStr">
        <is>
          <t>Christine M Allor Fnp-c (1 ortho)</t>
        </is>
      </c>
      <c r="S29" s="6" t="inlineStr">
        <is>
          <t>Medicaid-likely — verify payer</t>
        </is>
      </c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>
      <c r="A30" s="6" t="inlineStr">
        <is>
          <t>Epic Health - St Clair Shores</t>
        </is>
      </c>
      <c r="B30" s="6" t="inlineStr">
        <is>
          <t>8c04fb31-3380-488f-aa8a-954ff32146f2</t>
        </is>
      </c>
      <c r="C30" s="6" t="inlineStr">
        <is>
          <t>PCP</t>
        </is>
      </c>
      <c r="D30" s="6" t="inlineStr">
        <is>
          <t>Tier 2</t>
        </is>
      </c>
      <c r="E30" s="6" t="inlineStr">
        <is>
          <t>Ortho Referrer</t>
        </is>
      </c>
      <c r="F30" s="6" t="n">
        <v>46</v>
      </c>
      <c r="G30" s="6" t="n">
        <v>0</v>
      </c>
      <c r="H30" s="6" t="inlineStr">
        <is>
          <t>1</t>
        </is>
      </c>
      <c r="I30" s="6" t="inlineStr">
        <is>
          <t>1</t>
        </is>
      </c>
      <c r="J30" s="6" t="inlineStr">
        <is>
          <t>2026-05-26</t>
        </is>
      </c>
      <c r="K30" s="6" t="inlineStr">
        <is>
          <t>2026-05-06</t>
        </is>
      </c>
      <c r="L30" s="6" t="inlineStr">
        <is>
          <t>71</t>
        </is>
      </c>
      <c r="M30" s="6" t="inlineStr">
        <is>
          <t>20</t>
        </is>
      </c>
      <c r="N30" s="6" t="inlineStr">
        <is>
          <t>21</t>
        </is>
      </c>
      <c r="O30" s="6" t="inlineStr">
        <is>
          <t>S-D04</t>
        </is>
      </c>
      <c r="P30" s="6" t="inlineStr">
        <is>
          <t>St. Clair Shores</t>
        </is>
      </c>
      <c r="Q30" s="6" t="inlineStr">
        <is>
          <t>28001 Harper, St. Clair Shores, Michigan, 48081</t>
        </is>
      </c>
      <c r="R30" s="6" t="inlineStr">
        <is>
          <t>Ronald Barnett, DO (1 ortho)</t>
        </is>
      </c>
      <c r="S30" s="6" t="inlineStr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>
      <c r="A31" s="6" t="inlineStr">
        <is>
          <t>Waypointe Internal Medicine</t>
        </is>
      </c>
      <c r="B31" s="6" t="inlineStr">
        <is>
          <t>1164469821</t>
        </is>
      </c>
      <c r="C31" s="6" t="inlineStr">
        <is>
          <t>PCP</t>
        </is>
      </c>
      <c r="D31" s="6" t="inlineStr">
        <is>
          <t>Tier 2</t>
        </is>
      </c>
      <c r="E31" s="6" t="inlineStr">
        <is>
          <t>Ortho Referrer</t>
        </is>
      </c>
      <c r="F31" s="6" t="n">
        <v>46</v>
      </c>
      <c r="G31" s="6" t="n">
        <v>0</v>
      </c>
      <c r="H31" s="6" t="inlineStr">
        <is>
          <t>1</t>
        </is>
      </c>
      <c r="I31" s="6" t="inlineStr">
        <is>
          <t>1</t>
        </is>
      </c>
      <c r="J31" s="6" t="inlineStr">
        <is>
          <t>2026-03-20</t>
        </is>
      </c>
      <c r="K31" s="6" t="inlineStr">
        <is>
          <t>2026-04-27</t>
        </is>
      </c>
      <c r="L31" s="6" t="inlineStr">
        <is>
          <t>80</t>
        </is>
      </c>
      <c r="M31" s="6" t="inlineStr">
        <is>
          <t>29</t>
        </is>
      </c>
      <c r="N31" s="6" t="inlineStr">
        <is>
          <t>21</t>
        </is>
      </c>
      <c r="O31" s="6" t="inlineStr">
        <is>
          <t>S-D04</t>
        </is>
      </c>
      <c r="P31" s="6" t="inlineStr">
        <is>
          <t>Saint Clair Shores</t>
        </is>
      </c>
      <c r="Q31" s="6" t="inlineStr">
        <is>
          <t>24400 Greater Mack Ave, Saint Clair Shores, MI, 48080</t>
        </is>
      </c>
      <c r="R31" s="6" t="inlineStr">
        <is>
          <t>Sara Ann Fox, MD (1 ortho)</t>
        </is>
      </c>
      <c r="S31" s="6" t="inlineStr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>
      <c r="A32" s="6" t="inlineStr">
        <is>
          <t>Sterling Medical Center &amp; Urgent Care</t>
        </is>
      </c>
      <c r="B32" s="6" t="inlineStr">
        <is>
          <t>f30f611c-772a-406a-9d92-231790b785c2</t>
        </is>
      </c>
      <c r="C32" s="6" t="inlineStr">
        <is>
          <t>Urgent Care</t>
        </is>
      </c>
      <c r="D32" s="6" t="inlineStr">
        <is>
          <t>Tier 2</t>
        </is>
      </c>
      <c r="E32" s="6" t="inlineStr">
        <is>
          <t>Ortho Referrer</t>
        </is>
      </c>
      <c r="F32" s="6" t="n">
        <v>46</v>
      </c>
      <c r="G32" s="6" t="n">
        <v>0</v>
      </c>
      <c r="H32" s="6" t="inlineStr">
        <is>
          <t>1</t>
        </is>
      </c>
      <c r="I32" s="6" t="inlineStr">
        <is>
          <t>1</t>
        </is>
      </c>
      <c r="J32" s="6" t="inlineStr">
        <is>
          <t>2026-04-20</t>
        </is>
      </c>
      <c r="K32" s="6" t="inlineStr">
        <is>
          <t>2026-04-30</t>
        </is>
      </c>
      <c r="L32" s="6" t="inlineStr">
        <is>
          <t>77</t>
        </is>
      </c>
      <c r="M32" s="6" t="inlineStr">
        <is>
          <t>73</t>
        </is>
      </c>
      <c r="N32" s="6" t="inlineStr">
        <is>
          <t>21</t>
        </is>
      </c>
      <c r="O32" s="6" t="inlineStr">
        <is>
          <t>S-D04</t>
        </is>
      </c>
      <c r="P32" s="6" t="inlineStr">
        <is>
          <t>STERLING HEIGHTS</t>
        </is>
      </c>
      <c r="Q32" s="6" t="inlineStr">
        <is>
          <t>13409 E 14 MILE RD, STERLING HEIGHTS, Michigan, 48312</t>
        </is>
      </c>
      <c r="R32" s="6" t="inlineStr">
        <is>
          <t>Mohammed Nader Bazzy (1 ortho)</t>
        </is>
      </c>
      <c r="S32" s="6" t="inlineStr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>
      <c r="A33" s="6" t="inlineStr">
        <is>
          <t>Toma &amp; Yaldo Medical Center</t>
        </is>
      </c>
      <c r="B33" s="6" t="inlineStr">
        <is>
          <t>d1255d1a-17e8-4765-bfe5-45c6c087c8ed</t>
        </is>
      </c>
      <c r="C33" s="6" t="inlineStr">
        <is>
          <t>PCP</t>
        </is>
      </c>
      <c r="D33" s="6" t="inlineStr">
        <is>
          <t>Tier 2</t>
        </is>
      </c>
      <c r="E33" s="6" t="inlineStr">
        <is>
          <t>Ortho Referrer</t>
        </is>
      </c>
      <c r="F33" s="6" t="n">
        <v>45</v>
      </c>
      <c r="G33" s="6" t="n">
        <v>0</v>
      </c>
      <c r="H33" s="6" t="inlineStr">
        <is>
          <t>1</t>
        </is>
      </c>
      <c r="I33" s="6" t="inlineStr">
        <is>
          <t>1</t>
        </is>
      </c>
      <c r="J33" s="6" t="inlineStr">
        <is>
          <t>2026-07-07</t>
        </is>
      </c>
      <c r="K33" s="6" t="inlineStr">
        <is>
          <t>2026-03-18</t>
        </is>
      </c>
      <c r="L33" s="6" t="inlineStr">
        <is>
          <t>120</t>
        </is>
      </c>
      <c r="M33" s="6" t="inlineStr">
        <is>
          <t>111</t>
        </is>
      </c>
      <c r="N33" s="6" t="inlineStr">
        <is>
          <t>21</t>
        </is>
      </c>
      <c r="O33" s="6" t="inlineStr">
        <is>
          <t>S-D01</t>
        </is>
      </c>
      <c r="P33" s="6" t="inlineStr">
        <is>
          <t>Sterling Heights</t>
        </is>
      </c>
      <c r="Q33" s="6" t="inlineStr">
        <is>
          <t>39150 Dequindre Rd suite 200, Sterling Heights, Michigan, 48310</t>
        </is>
      </c>
      <c r="R33" s="6" t="inlineStr">
        <is>
          <t>Raad Toma, MD (1 ortho)</t>
        </is>
      </c>
      <c r="S33" s="6" t="inlineStr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>
      <c r="A34" s="6" t="inlineStr">
        <is>
          <t>Horizon Care Medical Group - Warren</t>
        </is>
      </c>
      <c r="B34" s="6" t="inlineStr">
        <is>
          <t>476bc8e4-84c4-4063-97a9-b649ed44dddf</t>
        </is>
      </c>
      <c r="C34" s="6" t="inlineStr">
        <is>
          <t>PCP</t>
        </is>
      </c>
      <c r="D34" s="6" t="inlineStr">
        <is>
          <t>Tier 2</t>
        </is>
      </c>
      <c r="E34" s="6" t="inlineStr">
        <is>
          <t>Ortho Referrer</t>
        </is>
      </c>
      <c r="F34" s="6" t="n">
        <v>45</v>
      </c>
      <c r="G34" s="6" t="n">
        <v>0</v>
      </c>
      <c r="H34" s="6" t="inlineStr">
        <is>
          <t>1</t>
        </is>
      </c>
      <c r="I34" s="6" t="inlineStr">
        <is>
          <t>1</t>
        </is>
      </c>
      <c r="J34" s="6" t="inlineStr">
        <is>
          <t>2026-03-11</t>
        </is>
      </c>
      <c r="K34" s="6" t="inlineStr">
        <is>
          <t>2026-05-05</t>
        </is>
      </c>
      <c r="L34" s="6" t="inlineStr">
        <is>
          <t>72</t>
        </is>
      </c>
      <c r="M34" s="6" t="inlineStr">
        <is>
          <t>13</t>
        </is>
      </c>
      <c r="N34" s="6" t="inlineStr">
        <is>
          <t>21</t>
        </is>
      </c>
      <c r="O34" s="6" t="inlineStr">
        <is>
          <t>S-D02</t>
        </is>
      </c>
      <c r="P34" s="6" t="inlineStr">
        <is>
          <t>Warren</t>
        </is>
      </c>
      <c r="Q34" s="6" t="inlineStr">
        <is>
          <t>26000 Hoover Rd #103, Warren, Michigan, 48089</t>
        </is>
      </c>
      <c r="R34" s="6" t="inlineStr">
        <is>
          <t>Anthony Spearman, MD (1 ortho)</t>
        </is>
      </c>
      <c r="S34" s="6" t="inlineStr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>
      <c r="A35" s="6" t="inlineStr">
        <is>
          <t>South Lyon Family Docs</t>
        </is>
      </c>
      <c r="B35" s="6" t="inlineStr">
        <is>
          <t>573750f7-b7bd-4246-b7ac-f1217823639f</t>
        </is>
      </c>
      <c r="C35" s="6" t="inlineStr">
        <is>
          <t>PCP</t>
        </is>
      </c>
      <c r="D35" s="6" t="inlineStr">
        <is>
          <t>Tier 2</t>
        </is>
      </c>
      <c r="E35" s="6" t="inlineStr">
        <is>
          <t>Ortho Referrer</t>
        </is>
      </c>
      <c r="F35" s="6" t="n">
        <v>45</v>
      </c>
      <c r="G35" s="6" t="n">
        <v>0</v>
      </c>
      <c r="H35" s="6" t="inlineStr">
        <is>
          <t>1</t>
        </is>
      </c>
      <c r="I35" s="6" t="inlineStr">
        <is>
          <t>1</t>
        </is>
      </c>
      <c r="J35" s="6" t="inlineStr">
        <is>
          <t>2026-05-20</t>
        </is>
      </c>
      <c r="K35" s="6" t="inlineStr">
        <is>
          <t>2026-03-04</t>
        </is>
      </c>
      <c r="L35" s="6" t="inlineStr">
        <is>
          <t>134</t>
        </is>
      </c>
      <c r="M35" s="6" t="inlineStr">
        <is>
          <t>77</t>
        </is>
      </c>
      <c r="N35" s="6" t="inlineStr">
        <is>
          <t>21</t>
        </is>
      </c>
      <c r="O35" s="6" t="inlineStr">
        <is>
          <t>S-D03</t>
        </is>
      </c>
      <c r="P35" s="6" t="inlineStr">
        <is>
          <t>South Lyon</t>
        </is>
      </c>
      <c r="Q35" s="6" t="inlineStr">
        <is>
          <t>26006 Pontiac Trail, South Lyon, MI, 48178</t>
        </is>
      </c>
      <c r="R35" s="6" t="inlineStr">
        <is>
          <t>Brandy Eberhardt, DO (1 ortho)</t>
        </is>
      </c>
      <c r="S35" s="6" t="inlineStr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>
      <c r="A36" s="6" t="inlineStr">
        <is>
          <t>Masonic Medical Center - Ascension</t>
        </is>
      </c>
      <c r="B36" s="6" t="inlineStr">
        <is>
          <t>e73f759b-87dc-444f-a504-b954ddeeace1</t>
        </is>
      </c>
      <c r="C36" s="6" t="inlineStr">
        <is>
          <t>PCP</t>
        </is>
      </c>
      <c r="D36" s="6" t="inlineStr">
        <is>
          <t>Tier 2</t>
        </is>
      </c>
      <c r="E36" s="6" t="inlineStr">
        <is>
          <t>Ortho Referrer</t>
        </is>
      </c>
      <c r="F36" s="6" t="n">
        <v>45</v>
      </c>
      <c r="G36" s="6" t="n">
        <v>0</v>
      </c>
      <c r="H36" s="6" t="inlineStr">
        <is>
          <t>1</t>
        </is>
      </c>
      <c r="I36" s="6" t="inlineStr">
        <is>
          <t>1</t>
        </is>
      </c>
      <c r="J36" s="6" t="inlineStr">
        <is>
          <t>2026-05-15</t>
        </is>
      </c>
      <c r="K36" s="6" t="inlineStr">
        <is>
          <t>2026-03-27</t>
        </is>
      </c>
      <c r="L36" s="6" t="inlineStr">
        <is>
          <t>111</t>
        </is>
      </c>
      <c r="M36" s="6" t="inlineStr">
        <is>
          <t>49</t>
        </is>
      </c>
      <c r="N36" s="6" t="inlineStr">
        <is>
          <t>21</t>
        </is>
      </c>
      <c r="O36" s="6" t="inlineStr">
        <is>
          <t>S-D04</t>
        </is>
      </c>
      <c r="P36" s="6" t="inlineStr">
        <is>
          <t>St. Clair Shores</t>
        </is>
      </c>
      <c r="Q36" s="6" t="inlineStr">
        <is>
          <t>21099 Masonic, St. Clair Shores, Michigan, 48082</t>
        </is>
      </c>
      <c r="R36" s="6" t="inlineStr">
        <is>
          <t>Jeanette Elizabeth Wilson, MD (1 ortho)</t>
        </is>
      </c>
      <c r="S36" s="6" t="inlineStr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>
      <c r="A37" s="6" t="inlineStr">
        <is>
          <t>Aquino Integrative Internal Medicine</t>
        </is>
      </c>
      <c r="B37" s="6" t="inlineStr">
        <is>
          <t>1780671461</t>
        </is>
      </c>
      <c r="C37" s="6" t="inlineStr">
        <is>
          <t>PCP</t>
        </is>
      </c>
      <c r="D37" s="6" t="inlineStr">
        <is>
          <t>Tier 2</t>
        </is>
      </c>
      <c r="E37" s="6" t="inlineStr">
        <is>
          <t>Ortho Referrer</t>
        </is>
      </c>
      <c r="F37" s="6" t="n">
        <v>45</v>
      </c>
      <c r="G37" s="6" t="n">
        <v>0</v>
      </c>
      <c r="H37" s="6" t="inlineStr">
        <is>
          <t>1</t>
        </is>
      </c>
      <c r="I37" s="6" t="inlineStr">
        <is>
          <t>1</t>
        </is>
      </c>
      <c r="J37" s="6" t="inlineStr">
        <is>
          <t>2026-03-30</t>
        </is>
      </c>
      <c r="K37" s="6" t="inlineStr">
        <is>
          <t>2026-03-12</t>
        </is>
      </c>
      <c r="L37" s="6" t="inlineStr">
        <is>
          <t>126</t>
        </is>
      </c>
      <c r="M37" s="6" t="inlineStr">
        <is>
          <t>18</t>
        </is>
      </c>
      <c r="N37" s="6" t="inlineStr">
        <is>
          <t>21</t>
        </is>
      </c>
      <c r="O37" s="6" t="inlineStr">
        <is>
          <t>S-D04</t>
        </is>
      </c>
      <c r="P37" s="6" t="inlineStr">
        <is>
          <t>Roseville</t>
        </is>
      </c>
      <c r="Q37" s="6" t="inlineStr">
        <is>
          <t>30695 Little Mack Avenue, ste 500, Roseville, Michigan, 48066</t>
        </is>
      </c>
      <c r="R37" s="6" t="inlineStr">
        <is>
          <t>Robert Aquino, DO (1 ortho)</t>
        </is>
      </c>
      <c r="S37" s="6" t="inlineStr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>
      <c r="A38" s="6" t="inlineStr">
        <is>
          <t>Allied Internists</t>
        </is>
      </c>
      <c r="B38" s="6" t="inlineStr">
        <is>
          <t>1063423176</t>
        </is>
      </c>
      <c r="C38" s="6" t="inlineStr">
        <is>
          <t>PCP</t>
        </is>
      </c>
      <c r="D38" s="6" t="inlineStr">
        <is>
          <t>Tier 2</t>
        </is>
      </c>
      <c r="E38" s="6" t="inlineStr">
        <is>
          <t>Ortho Referrer</t>
        </is>
      </c>
      <c r="F38" s="6" t="n">
        <v>45</v>
      </c>
      <c r="G38" s="6" t="n">
        <v>0</v>
      </c>
      <c r="H38" s="6" t="inlineStr">
        <is>
          <t>1</t>
        </is>
      </c>
      <c r="I38" s="6" t="inlineStr">
        <is>
          <t>1</t>
        </is>
      </c>
      <c r="J38" s="6" t="inlineStr">
        <is>
          <t>2026-02-05</t>
        </is>
      </c>
      <c r="K38" s="6" t="inlineStr">
        <is>
          <t>2026-04-20</t>
        </is>
      </c>
      <c r="L38" s="6" t="inlineStr">
        <is>
          <t>87</t>
        </is>
      </c>
      <c r="M38" s="6" t="inlineStr">
        <is>
          <t>52</t>
        </is>
      </c>
      <c r="N38" s="6" t="inlineStr">
        <is>
          <t>21</t>
        </is>
      </c>
      <c r="O38" s="6" t="inlineStr">
        <is>
          <t>S-D04</t>
        </is>
      </c>
      <c r="P38" s="6" t="inlineStr">
        <is>
          <t>Roseville</t>
        </is>
      </c>
      <c r="Q38" s="6" t="inlineStr">
        <is>
          <t>18263 E 10 Mile Rd, ste E, Roseville, Michigan, 48066</t>
        </is>
      </c>
      <c r="R38" s="6" t="inlineStr">
        <is>
          <t>Wahed Ishaqsei, MD (1 ortho)</t>
        </is>
      </c>
      <c r="S38" s="6" t="inlineStr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>
      <c r="A39" s="6" t="inlineStr">
        <is>
          <t>Office of David Mandy DO</t>
        </is>
      </c>
      <c r="B39" s="6" t="inlineStr">
        <is>
          <t>da57adc9-a2cf-4705-886d-76146cbbde06</t>
        </is>
      </c>
      <c r="C39" s="6" t="inlineStr">
        <is>
          <t>Pediatrics</t>
        </is>
      </c>
      <c r="D39" s="6" t="inlineStr">
        <is>
          <t>Tier 2</t>
        </is>
      </c>
      <c r="E39" s="6" t="inlineStr">
        <is>
          <t>Ortho Referrer</t>
        </is>
      </c>
      <c r="F39" s="6" t="n">
        <v>44</v>
      </c>
      <c r="G39" s="6" t="n">
        <v>0</v>
      </c>
      <c r="H39" s="6" t="inlineStr">
        <is>
          <t>1</t>
        </is>
      </c>
      <c r="I39" s="6" t="inlineStr">
        <is>
          <t>1</t>
        </is>
      </c>
      <c r="J39" s="6" t="inlineStr">
        <is>
          <t>2026-01-06</t>
        </is>
      </c>
      <c r="K39" s="6" t="inlineStr">
        <is>
          <t>2026-05-14</t>
        </is>
      </c>
      <c r="L39" s="6" t="inlineStr">
        <is>
          <t>63</t>
        </is>
      </c>
      <c r="M39" s="6" t="inlineStr">
        <is>
          <t>62</t>
        </is>
      </c>
      <c r="N39" s="6" t="inlineStr">
        <is>
          <t>21</t>
        </is>
      </c>
      <c r="O39" s="6" t="inlineStr">
        <is>
          <t>S-D01</t>
        </is>
      </c>
      <c r="P39" s="6" t="inlineStr">
        <is>
          <t>Macomb Township</t>
        </is>
      </c>
      <c r="Q39" s="6" t="inlineStr">
        <is>
          <t>46600 Romeo Plank, Ste. 4, Macomb Township, MI, 48044</t>
        </is>
      </c>
      <c r="R39" s="6" t="inlineStr">
        <is>
          <t>David Mandy (1 ortho)</t>
        </is>
      </c>
      <c r="S39" s="6" t="inlineStr">
        <is>
          <t>Pediatric (Jul 20 rule) → Review for removal</t>
        </is>
      </c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>
      <c r="A40" s="6" t="inlineStr">
        <is>
          <t>Beaumont Family Medicine - Sterling Heights</t>
        </is>
      </c>
      <c r="B40" s="6" t="inlineStr">
        <is>
          <t>1952519001</t>
        </is>
      </c>
      <c r="C40" s="6" t="inlineStr">
        <is>
          <t>PCP</t>
        </is>
      </c>
      <c r="D40" s="6" t="inlineStr">
        <is>
          <t>Tier 3</t>
        </is>
      </c>
      <c r="E40" s="6" t="inlineStr">
        <is>
          <t>Other Patient Referrer</t>
        </is>
      </c>
      <c r="F40" s="6" t="n">
        <v>23</v>
      </c>
      <c r="G40" s="6" t="n">
        <v>0</v>
      </c>
      <c r="H40" s="6" t="inlineStr">
        <is>
          <t>0</t>
        </is>
      </c>
      <c r="I40" s="6" t="inlineStr">
        <is>
          <t>1</t>
        </is>
      </c>
      <c r="J40" s="6" t="inlineStr">
        <is>
          <t>2026-04-16</t>
        </is>
      </c>
      <c r="K40" s="6" t="inlineStr">
        <is>
          <t>2026-06-10</t>
        </is>
      </c>
      <c r="L40" s="6" t="inlineStr">
        <is>
          <t>36</t>
        </is>
      </c>
      <c r="M40" s="6" t="inlineStr">
        <is>
          <t>15</t>
        </is>
      </c>
      <c r="N40" s="6" t="inlineStr">
        <is>
          <t>30</t>
        </is>
      </c>
      <c r="O40" s="6" t="inlineStr">
        <is>
          <t>S-D01</t>
        </is>
      </c>
      <c r="P40" s="6" t="inlineStr">
        <is>
          <t>Sterling Heights</t>
        </is>
      </c>
      <c r="Q40" s="6" t="inlineStr">
        <is>
          <t>44250 Dequindre, Sterling Heights, MI, 483141002</t>
        </is>
      </c>
      <c r="R40" s="6" t="inlineStr">
        <is>
          <t>Hany Eraqi, MD</t>
        </is>
      </c>
      <c r="S40" s="6" t="inlineStr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s="6" t="inlineStr">
        <is>
          <t>Academic Internal Medicine (Ascension)</t>
        </is>
      </c>
      <c r="B41" s="6" t="inlineStr">
        <is>
          <t>97ae4125-fd10-47de-8cae-c053e42232d0</t>
        </is>
      </c>
      <c r="C41" s="6" t="inlineStr">
        <is>
          <t>PCP</t>
        </is>
      </c>
      <c r="D41" s="6" t="inlineStr">
        <is>
          <t>Tier 3</t>
        </is>
      </c>
      <c r="E41" s="6" t="inlineStr">
        <is>
          <t>Other Patient Referrer</t>
        </is>
      </c>
      <c r="F41" s="6" t="n">
        <v>21</v>
      </c>
      <c r="G41" s="6" t="n">
        <v>0</v>
      </c>
      <c r="H41" s="6" t="inlineStr">
        <is>
          <t>0</t>
        </is>
      </c>
      <c r="I41" s="6" t="inlineStr">
        <is>
          <t>1</t>
        </is>
      </c>
      <c r="J41" s="6" t="inlineStr">
        <is>
          <t>2026-04-16</t>
        </is>
      </c>
      <c r="K41" s="6" t="inlineStr">
        <is>
          <t>2026-03-17</t>
        </is>
      </c>
      <c r="L41" s="6" t="inlineStr">
        <is>
          <t>121</t>
        </is>
      </c>
      <c r="M41" s="6" t="inlineStr">
        <is>
          <t>30</t>
        </is>
      </c>
      <c r="N41" s="6" t="inlineStr">
        <is>
          <t>30</t>
        </is>
      </c>
      <c r="O41" s="6" t="inlineStr">
        <is>
          <t>S-D01</t>
        </is>
      </c>
      <c r="P41" s="6" t="inlineStr">
        <is>
          <t>Washington</t>
        </is>
      </c>
      <c r="Q41" s="6" t="inlineStr">
        <is>
          <t>57850 Van Dyke Ave ste 600, Washington, Michigan, 48094</t>
        </is>
      </c>
      <c r="R41" s="6" t="inlineStr">
        <is>
          <t>Zain Kulairi, MD</t>
        </is>
      </c>
      <c r="S41" s="6" t="inlineStr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>
      <c r="A42" s="6" t="inlineStr">
        <is>
          <t>Henry Ford Medical Center - Warren</t>
        </is>
      </c>
      <c r="B42" s="6" t="inlineStr">
        <is>
          <t>1932273448</t>
        </is>
      </c>
      <c r="C42" s="6" t="inlineStr">
        <is>
          <t>PCP</t>
        </is>
      </c>
      <c r="D42" s="6" t="inlineStr">
        <is>
          <t>Prospect</t>
        </is>
      </c>
      <c r="E42" s="6" t="inlineStr">
        <is>
          <t>Visit / Prospect</t>
        </is>
      </c>
      <c r="F42" s="6" t="n">
        <v>9</v>
      </c>
      <c r="G42" s="6" t="n">
        <v>0</v>
      </c>
      <c r="H42" s="6" t="inlineStr">
        <is>
          <t>0</t>
        </is>
      </c>
      <c r="I42" s="6" t="inlineStr">
        <is>
          <t>0</t>
        </is>
      </c>
      <c r="J42" s="6" t="inlineStr"/>
      <c r="K42" s="6" t="inlineStr">
        <is>
          <t>2026-05-26</t>
        </is>
      </c>
      <c r="L42" s="6" t="inlineStr">
        <is>
          <t>51</t>
        </is>
      </c>
      <c r="M42" s="6" t="n">
        <v/>
      </c>
      <c r="N42" s="6" t="inlineStr">
        <is>
          <t>45</t>
        </is>
      </c>
      <c r="O42" s="6" t="inlineStr">
        <is>
          <t>S-D02</t>
        </is>
      </c>
      <c r="P42" s="6" t="inlineStr">
        <is>
          <t>Warren</t>
        </is>
      </c>
      <c r="Q42" s="6" t="inlineStr">
        <is>
          <t>8600 Chicago Road St, Warren, MI, 48093</t>
        </is>
      </c>
      <c r="R42" s="6" t="inlineStr"/>
      <c r="S42" s="6" t="inlineStr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</sheetData>
  <dataValidations count="5">
    <dataValidation sqref="T3:T42" showDropDown="0" showInputMessage="0" showErrorMessage="0" allowBlank="1" type="list">
      <formula1>"Keep,Remove,Reassign"</formula1>
    </dataValidation>
    <dataValidation sqref="V3:V42" showDropDown="0" showInputMessage="0" showErrorMessage="0" allowBlank="1" type="list">
      <formula1>"Tier 1,Tier 2,Tier 3,Prospect"</formula1>
    </dataValidation>
    <dataValidation sqref="W3:W42" showDropDown="0" showInputMessage="0" showErrorMessage="0" allowBlank="1" type="list">
      <formula1>"High,Medium,Low,None"</formula1>
    </dataValidation>
    <dataValidation sqref="X3:X42" showDropDown="0" showInputMessage="0" showErrorMessage="0" allowBlank="1" type="list">
      <formula1>"Yes,No,Unknown"</formula1>
    </dataValidation>
    <dataValidation sqref="Y3:Y42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8" t="inlineStr">
        <is>
          <t>Validation Summary (auto-counts — fills as PLs disposition)</t>
        </is>
      </c>
    </row>
    <row r="4">
      <c r="B4" s="9" t="inlineStr">
        <is>
          <t>PL</t>
        </is>
      </c>
      <c r="C4" s="9" t="inlineStr">
        <is>
          <t>Starting</t>
        </is>
      </c>
      <c r="D4" s="9" t="inlineStr">
        <is>
          <t>Keep</t>
        </is>
      </c>
      <c r="E4" s="9" t="inlineStr">
        <is>
          <t>Remove</t>
        </is>
      </c>
      <c r="F4" s="9" t="inlineStr">
        <is>
          <t>Reassign</t>
        </is>
      </c>
      <c r="G4" s="9" t="inlineStr">
        <is>
          <t>Not yet reviewed</t>
        </is>
      </c>
    </row>
    <row r="5">
      <c r="B5" s="10" t="inlineStr">
        <is>
          <t>Kristen</t>
        </is>
      </c>
      <c r="C5" s="10" t="n">
        <v>180</v>
      </c>
      <c r="D5" s="10">
        <f>COUNTIF('Kristen'!$T$3:$T$400,"Keep")</f>
        <v/>
      </c>
      <c r="E5" s="10">
        <f>COUNTIF('Kristen'!$T$3:$T$400,"Remove")</f>
        <v/>
      </c>
      <c r="F5" s="10">
        <f>COUNTIF('Kristen'!$T$3:$T$400,"Reassign")</f>
        <v/>
      </c>
      <c r="G5" s="10">
        <f>C5-SUM(D5:F5)</f>
        <v/>
      </c>
    </row>
    <row r="6">
      <c r="B6" s="10" t="inlineStr">
        <is>
          <t>Jasmine</t>
        </is>
      </c>
      <c r="C6" s="10" t="n">
        <v>310</v>
      </c>
      <c r="D6" s="10">
        <f>COUNTIF('Jasmine'!$T$3:$T$400,"Keep")</f>
        <v/>
      </c>
      <c r="E6" s="10">
        <f>COUNTIF('Jasmine'!$T$3:$T$400,"Remove")</f>
        <v/>
      </c>
      <c r="F6" s="10">
        <f>COUNTIF('Jasmine'!$T$3:$T$400,"Reassign")</f>
        <v/>
      </c>
      <c r="G6" s="10">
        <f>C6-SUM(D6:F6)</f>
        <v/>
      </c>
    </row>
    <row r="7">
      <c r="B7" s="10" t="inlineStr">
        <is>
          <t>Coty</t>
        </is>
      </c>
      <c r="C7" s="10" t="n">
        <v>318</v>
      </c>
      <c r="D7" s="10">
        <f>COUNTIF('Coty'!$T$3:$T$400,"Keep")</f>
        <v/>
      </c>
      <c r="E7" s="10">
        <f>COUNTIF('Coty'!$T$3:$T$400,"Remove")</f>
        <v/>
      </c>
      <c r="F7" s="10">
        <f>COUNTIF('Coty'!$T$3:$T$400,"Reassign")</f>
        <v/>
      </c>
      <c r="G7" s="10">
        <f>C7-SUM(D7:F7)</f>
        <v/>
      </c>
    </row>
    <row r="8">
      <c r="B8" s="10" t="inlineStr">
        <is>
          <t>Sean</t>
        </is>
      </c>
      <c r="C8" s="10" t="n">
        <v>40</v>
      </c>
      <c r="D8" s="10">
        <f>COUNTIF('Sean (verify)'!$T$3:$T$400,"Keep")</f>
        <v/>
      </c>
      <c r="E8" s="10">
        <f>COUNTIF('Sean (verify)'!$T$3:$T$400,"Remove")</f>
        <v/>
      </c>
      <c r="F8" s="10">
        <f>COUNTIF('Sean (verify)'!$T$3:$T$400,"Reassign")</f>
        <v/>
      </c>
      <c r="G8" s="10">
        <f>C8-SUM(D8:F8)</f>
        <v/>
      </c>
    </row>
    <row r="9">
      <c r="B9" s="11" t="inlineStr">
        <is>
          <t>TOTAL</t>
        </is>
      </c>
      <c r="C9" s="11">
        <f>SUM(C5:C8)</f>
        <v/>
      </c>
      <c r="D9" s="11">
        <f>SUM(D5:D8)</f>
        <v/>
      </c>
      <c r="E9" s="11">
        <f>SUM(E5:E8)</f>
        <v/>
      </c>
      <c r="F9" s="11">
        <f>SUM(F5:F8)</f>
        <v/>
      </c>
      <c r="G9" s="11">
        <f>SUM(G5:G8)</f>
        <v/>
      </c>
    </row>
    <row r="11">
      <c r="B11" s="12" t="inlineStr">
        <is>
          <t>Deliver with the Jul 31 summary: accounts removed + reasons (filter Disposition=Remove) · reassignments · final tier/type mix · route days required (regenerated) · accounts needing &gt;1 visit before Sep 30 (= all Final Tier 1 &amp; 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2026-07-21T17:53:34Z</dcterms:created>
  <dcterms:modified xsi:type="dcterms:W3CDTF">2026-07-21T17:53:35Z</dcterms:modified>
</cp:coreProperties>
</file>