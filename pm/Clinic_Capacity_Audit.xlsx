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xl/tables/table2.xml" ContentType="application/vnd.openxmlformats-officedocument.spreadsheetml.table+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Physician Roster" sheetId="2" state="visible" r:id="rId4"/>
    <sheet name="Weekly Audit" sheetId="3" state="visible" r:id="rId5"/>
    <sheet name="Historical Benchmarks" sheetId="4" state="visible" r:id="rId6"/>
    <sheet name="Dashboard" sheetId="5" state="visible" r:id="rId7"/>
  </sheets>
  <calcPr iterateCount="100" refMode="A1" iterate="false" iterateDelta="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L6" authorId="0">
      <text>
        <r>
          <rPr>
            <sz val="10"/>
            <rFont val="Arial"/>
            <family val="2"/>
          </rPr>
          <t xml:space="preserve">Count out of the 7 Ortho surgeons on the Physician Roster tab. Enter 0 when the full roster is available.</t>
        </r>
      </text>
    </comment>
    <comment ref="S6" authorId="0">
      <text>
        <r>
          <rPr>
            <sz val="10"/>
            <rFont val="Arial"/>
            <family val="2"/>
          </rPr>
          <t xml:space="preserve">Name physicians as listed on the Physician Roster tab (Ortho &amp; Spine only), plus the reason (PTO, surgery, conference...).</t>
        </r>
      </text>
    </comment>
  </commentList>
</comments>
</file>

<file path=xl/sharedStrings.xml><?xml version="1.0" encoding="utf-8"?>
<sst xmlns="http://schemas.openxmlformats.org/spreadsheetml/2006/main" count="250" uniqueCount="180">
  <si>
    <t xml:space="preserve">Clinic Capacity Audit | Start Here</t>
  </si>
  <si>
    <t xml:space="preserve">Use this workbook to audit 16 weeks of physician clinic capacity, identify PTO and scheduling gaps, and compare capacity with successful new-patient weeks.</t>
  </si>
  <si>
    <t xml:space="preserve">Audit Timeline</t>
  </si>
  <si>
    <t xml:space="preserve">First 4 weeks</t>
  </si>
  <si>
    <t xml:space="preserve">Complete by August 14, 2026</t>
  </si>
  <si>
    <t xml:space="preserve">Remaining 12 weeks</t>
  </si>
  <si>
    <t xml:space="preserve">Complete by August 31, 2026</t>
  </si>
  <si>
    <t xml:space="preserve">How a Clinic Day Is Counted</t>
  </si>
  <si>
    <t xml:space="preserve">For the CEO's simple executive measure, one full physician clinic day = 1.0 and one half-day = 0.5. Do not weight the initial count by physician, location, or day of week. Because clinic days are not operationally equal, use the Capacity Notes fields to document clinic length, location, timing, new-patient slots, or late schedule openings that materially change usable capacity.</t>
  </si>
  <si>
    <t xml:space="preserve">Working Assumptions (editable)</t>
  </si>
  <si>
    <t xml:space="preserve">Spine standard clinic days</t>
  </si>
  <si>
    <t xml:space="preserve">Standard expectation; 8 is an exception, not the target.</t>
  </si>
  <si>
    <t xml:space="preserve">Spine absolute floor</t>
  </si>
  <si>
    <t xml:space="preserve">No upcoming week should fall below this level.</t>
  </si>
  <si>
    <t xml:space="preserve">Ortho minimum | 0 physicians out</t>
  </si>
  <si>
    <t xml:space="preserve">Full Ortho roster available - all 7 Ortho surgeons (see Physician Roster tab).</t>
  </si>
  <si>
    <t xml:space="preserve">Ortho minimum | 1 physician out</t>
  </si>
  <si>
    <t xml:space="preserve">One Ortho physician out.</t>
  </si>
  <si>
    <t xml:space="preserve">Ortho minimum | 2 physicians out</t>
  </si>
  <si>
    <t xml:space="preserve">Two Ortho physicians out; more than two requires review.</t>
  </si>
  <si>
    <t xml:space="preserve">Spine new-patient success level</t>
  </si>
  <si>
    <t xml:space="preserve">Historical benchmark threshold.</t>
  </si>
  <si>
    <t xml:space="preserve">Ortho new-patient success level</t>
  </si>
  <si>
    <t xml:space="preserve">Color Key</t>
  </si>
  <si>
    <t xml:space="preserve">Yellow = Kelley input</t>
  </si>
  <si>
    <t xml:space="preserve">Green = meets target</t>
  </si>
  <si>
    <t xml:space="preserve">Orange = exception/review</t>
  </si>
  <si>
    <t xml:space="preserve">Red = action required</t>
  </si>
  <si>
    <t xml:space="preserve">Gray = calculated / not started</t>
  </si>
  <si>
    <t xml:space="preserve">Gray cells fill themselves - never type in them. Status colors update automatically as the audit is completed.</t>
  </si>
  <si>
    <t xml:space="preserve">Who Completes What</t>
  </si>
  <si>
    <t xml:space="preserve">Kelley (scheduling / call center) enters the yellow cells on the Weekly Audit and Historical Benchmarks tabs. Katie (operations) reviews statuses and flags to plan coverage, clinic-day additions, or PTO changes. The Dashboard is the executive view connecting clinic capacity to new-patient performance.</t>
  </si>
  <si>
    <t xml:space="preserve">Who Is Counted</t>
  </si>
  <si>
    <t xml:space="preserve">Clinic-day counts cover the physicians on the Physician Roster tab (Ortho &amp; Spine only). The Ortho count covers the 7 Ortho surgeons; "Ortho Physicians Out" means how many of those 7 are out - enter 0 when everyone is available (blank is treated as 0). The roster lists spine surgeons and interventional pain physicians separately so the same inclusion rule is applied every week. Three names on the Sept 7 schedule are pending confirmation - see the roster tab.</t>
  </si>
  <si>
    <t xml:space="preserve">Physician Roster | Ortho &amp; Spine</t>
  </si>
  <si>
    <t xml:space="preserve">Reference roster for this audit - Ortho and Spine service lines only. The Weekly Audit clinic-day counts and "Ortho Physicians Out" refer to the physicians below.</t>
  </si>
  <si>
    <t xml:space="preserve">Physician</t>
  </si>
  <si>
    <t xml:space="preserve">Service Line</t>
  </si>
  <si>
    <t xml:space="preserve">Credentials</t>
  </si>
  <si>
    <t xml:space="preserve">Role / Focus</t>
  </si>
  <si>
    <t xml:space="preserve">On Sept 7 Schedule?</t>
  </si>
  <si>
    <t xml:space="preserve">Name on Schedule</t>
  </si>
  <si>
    <t xml:space="preserve">Spine New Patients Jan 1 - Jul 15, 2026</t>
  </si>
  <si>
    <t xml:space="preserve">Notes</t>
  </si>
  <si>
    <t xml:space="preserve">SPINE - Surgeons</t>
  </si>
  <si>
    <t xml:space="preserve">Jeffrey Varghese</t>
  </si>
  <si>
    <t xml:space="preserve">Spine Surgeon</t>
  </si>
  <si>
    <t xml:space="preserve">MD</t>
  </si>
  <si>
    <t xml:space="preserve">Spinal deformity correction + minimally invasive spine; research background at Hospital for Special Surgery</t>
  </si>
  <si>
    <t xml:space="preserve">Yes</t>
  </si>
  <si>
    <t xml:space="preserve">J Varghese</t>
  </si>
  <si>
    <t xml:space="preserve">Mohamed Salar</t>
  </si>
  <si>
    <t xml:space="preserve">Minimally invasive spine procedures</t>
  </si>
  <si>
    <t xml:space="preserve">M Salar</t>
  </si>
  <si>
    <t xml:space="preserve">Joseph Maslak</t>
  </si>
  <si>
    <t xml:space="preserve">Board-certified, fellowship-trained spine surgeon (Cleveland Clinic training)</t>
  </si>
  <si>
    <t xml:space="preserve">J Maslak</t>
  </si>
  <si>
    <t xml:space="preserve">Scott McCarty</t>
  </si>
  <si>
    <t xml:space="preserve">Spine surgeon - integrated spine team</t>
  </si>
  <si>
    <t xml:space="preserve">S McCarty</t>
  </si>
  <si>
    <t xml:space="preserve">Highest spine new-patient volume YTD.</t>
  </si>
  <si>
    <t xml:space="preserve">Lucia Zamorano</t>
  </si>
  <si>
    <t xml:space="preserve">MD, FAANOS, FICS</t>
  </si>
  <si>
    <t xml:space="preserve">Neurosurgeon (spine/brain) - board-certified, fellowship-trained</t>
  </si>
  <si>
    <t xml:space="preserve">L Zamorano / "Dr. Zam."</t>
  </si>
  <si>
    <t xml:space="preserve">Troy clinics Mon &amp; Thu; 1st Monday of month blocked at hospital (per schedule note).</t>
  </si>
  <si>
    <t xml:space="preserve">A. Munk</t>
  </si>
  <si>
    <t xml:space="preserve">Spine physician</t>
  </si>
  <si>
    <t xml:space="preserve">A Munk</t>
  </si>
  <si>
    <t xml:space="preserve">Confirm listing/role with practice - appears in internal data and on the schedule, not on the website provider pages.</t>
  </si>
  <si>
    <t xml:space="preserve">SPINE - Interventional Pain (non-surgical spine)</t>
  </si>
  <si>
    <t xml:space="preserve">Anthony J. Oddo</t>
  </si>
  <si>
    <t xml:space="preserve">Spine Pain</t>
  </si>
  <si>
    <t xml:space="preserve">DO</t>
  </si>
  <si>
    <t xml:space="preserve">Director of Pain Management - spine pain, injections</t>
  </si>
  <si>
    <t xml:space="preserve">A Oddo</t>
  </si>
  <si>
    <t xml:space="preserve">Kevin R. Lee</t>
  </si>
  <si>
    <t xml:space="preserve">Pain management + functional neurosurgery - minimally invasive</t>
  </si>
  <si>
    <t xml:space="preserve">K Lee</t>
  </si>
  <si>
    <t xml:space="preserve">Brian Kassa</t>
  </si>
  <si>
    <t xml:space="preserve">Fellowship-trained pain management - spine &amp; joint interventions</t>
  </si>
  <si>
    <t xml:space="preserve">B Kassa</t>
  </si>
  <si>
    <t xml:space="preserve">Hanish Singh</t>
  </si>
  <si>
    <t xml:space="preserve">Pain management - spine diagnostics, injections</t>
  </si>
  <si>
    <t xml:space="preserve">H Singh</t>
  </si>
  <si>
    <t xml:space="preserve">ORTHO - Surgeons</t>
  </si>
  <si>
    <t xml:space="preserve">Jeffrey Mendelson</t>
  </si>
  <si>
    <t xml:space="preserve">Ortho Surgeon</t>
  </si>
  <si>
    <t xml:space="preserve">Chief of Orthopedic Surgery</t>
  </si>
  <si>
    <t xml:space="preserve">David Mendelson</t>
  </si>
  <si>
    <t xml:space="preserve">Fellowship-trained orthopedic surgeon</t>
  </si>
  <si>
    <t xml:space="preserve">Stephen Mendelson</t>
  </si>
  <si>
    <t xml:space="preserve">Orthopedic surgeon (fellowship-trained, Israel)</t>
  </si>
  <si>
    <t xml:space="preserve">Alice Mendelson</t>
  </si>
  <si>
    <t xml:space="preserve">Women's bone health, fracture prevention</t>
  </si>
  <si>
    <t xml:space="preserve">Preetinder Bhullar</t>
  </si>
  <si>
    <t xml:space="preserve">Hip &amp; knee replacement (arthroplasty)</t>
  </si>
  <si>
    <t xml:space="preserve">Bhullar</t>
  </si>
  <si>
    <t xml:space="preserve">Ben Mayo</t>
  </si>
  <si>
    <t xml:space="preserve">Sports medicine</t>
  </si>
  <si>
    <t xml:space="preserve">Mayo</t>
  </si>
  <si>
    <t xml:space="preserve">Joseph Yacisen</t>
  </si>
  <si>
    <t xml:space="preserve">Sports medicine (25+ yrs; military service)</t>
  </si>
  <si>
    <t xml:space="preserve">Yacisen</t>
  </si>
  <si>
    <t xml:space="preserve">Harbor Beach weeks 2 &amp; 4 (per schedule note).</t>
  </si>
  <si>
    <t xml:space="preserve">Roster Counts</t>
  </si>
  <si>
    <t xml:space="preserve">Spine surgeons</t>
  </si>
  <si>
    <t xml:space="preserve">Counts the roster rows above by Service Line.</t>
  </si>
  <si>
    <t xml:space="preserve">Spine interventional pain physicians</t>
  </si>
  <si>
    <t xml:space="preserve">Spine-capable physicians (total)</t>
  </si>
  <si>
    <t xml:space="preserve">Roster doc cites 9 (A. Munk pending confirmation with the practice); 10 if confirmed.</t>
  </si>
  <si>
    <t xml:space="preserve">Ortho surgeons</t>
  </si>
  <si>
    <t xml:space="preserve">Matches the Start Here assumption: 16 required days = full 7-surgeon roster available.</t>
  </si>
  <si>
    <t xml:space="preserve">Spine new patients | Jan 1 - Jul 15, 2026</t>
  </si>
  <si>
    <t xml:space="preserve">Internal new-patient data via the roster doc. Volume does not equal conversion.</t>
  </si>
  <si>
    <t xml:space="preserve">Confirm With Practice Before Treating This Roster as Final</t>
  </si>
  <si>
    <t xml:space="preserve">J. Heyl - on the Sept 7 schedule (listed under Pain; grouped with the spine physicians on the Proposed tab with a Sept 1 start). Not on the July 15 website provider roster. Confirm role before counting toward Spine capacity.</t>
  </si>
  <si>
    <t xml:space="preserve">S. Zaremba - on the Sept 7 schedule under Pain; not on the website provider roster. Confirm role before counting.</t>
  </si>
  <si>
    <t xml:space="preserve">"Jerry" - Ortho clinic block on the Sept 7 schedule with no matching roster name. Confirm which physician this is before counting those days toward Ortho capacity.</t>
  </si>
  <si>
    <t xml:space="preserve">Sources</t>
  </si>
  <si>
    <t xml:space="preserve">Physicians: brand/provider-roster-by-service-line.md (synergyhealth.org /providers/ crawl + page metadata, July 15, 2026) - Ortho and Spine service lines only, as requested. Schedule cross-check: ASC_Clinic_Schedule_Sept_7th.xlsx ("Clinic and ASC Schedule" and "Proposed" tabs) - every physician listed above appears on that schedule. Spine new-patient counts: internal new-patient data, Jan 1 - Jul 15, 2026, via the same roster doc. Hand, foot &amp; ankle, primary care, PT/OT, and PA staff are intentionally excluded.</t>
  </si>
  <si>
    <t xml:space="preserve">16-Week Clinic Capacity Audit</t>
  </si>
  <si>
    <t xml:space="preserve">Enter yellow cells only. Totals, thresholds, status flags, and the dashboard update automatically.</t>
  </si>
  <si>
    <t xml:space="preserve">SPINE CAPACITY</t>
  </si>
  <si>
    <t xml:space="preserve">ORTHO CAPACITY</t>
  </si>
  <si>
    <t xml:space="preserve">NEW-PATIENT PERFORMANCE</t>
  </si>
  <si>
    <t xml:space="preserve">CONTEXT &amp; ACTION</t>
  </si>
  <si>
    <t xml:space="preserve">Week #</t>
  </si>
  <si>
    <t xml:space="preserve">Week Starting</t>
  </si>
  <si>
    <t xml:space="preserve">Audit Phase</t>
  </si>
  <si>
    <t xml:space="preserve">Spine Full Days</t>
  </si>
  <si>
    <t xml:space="preserve">Spine Half-Days</t>
  </si>
  <si>
    <t xml:space="preserve">Spine Total Days</t>
  </si>
  <si>
    <t xml:space="preserve">Spine Standard</t>
  </si>
  <si>
    <t xml:space="preserve">Spine Status</t>
  </si>
  <si>
    <t xml:space="preserve">Ortho Full Days</t>
  </si>
  <si>
    <t xml:space="preserve">Ortho Half-Days</t>
  </si>
  <si>
    <t xml:space="preserve">Ortho Total Days</t>
  </si>
  <si>
    <t xml:space="preserve">Ortho Physicians Out</t>
  </si>
  <si>
    <t xml:space="preserve">Ortho Required</t>
  </si>
  <si>
    <t xml:space="preserve">Ortho Status</t>
  </si>
  <si>
    <t xml:space="preserve">Spine New Patients</t>
  </si>
  <si>
    <t xml:space="preserve">Spine 60+</t>
  </si>
  <si>
    <t xml:space="preserve">Ortho New Patients</t>
  </si>
  <si>
    <t xml:space="preserve">Ortho 130+</t>
  </si>
  <si>
    <t xml:space="preserve">Physicians Out / PTO</t>
  </si>
  <si>
    <t xml:space="preserve">Surgery / Other Conflict</t>
  </si>
  <si>
    <t xml:space="preserve">Capacity Notes</t>
  </si>
  <si>
    <t xml:space="preserve">Planned Action</t>
  </si>
  <si>
    <t xml:space="preserve">System Flag</t>
  </si>
  <si>
    <t xml:space="preserve">First 4</t>
  </si>
  <si>
    <t xml:space="preserve">Remaining 12</t>
  </si>
  <si>
    <t xml:space="preserve">Historical Successful-Week Benchmarks</t>
  </si>
  <si>
    <t xml:space="preserve">Enter recent weeks to identify how many clinic days were available when Spine achieved 60+ new patients or Ortho achieved 130+.</t>
  </si>
  <si>
    <t xml:space="preserve">Use the same counting rule: full day = 1.0; half-day = 0.5. Yellow cells are inputs.</t>
  </si>
  <si>
    <t xml:space="preserve">Full Days</t>
  </si>
  <si>
    <t xml:space="preserve">Half-Days</t>
  </si>
  <si>
    <t xml:space="preserve">Total Clinic Days</t>
  </si>
  <si>
    <t xml:space="preserve">New Patients</t>
  </si>
  <si>
    <t xml:space="preserve">Goal</t>
  </si>
  <si>
    <t xml:space="preserve">Result</t>
  </si>
  <si>
    <t xml:space="preserve">Source / Reference</t>
  </si>
  <si>
    <t xml:space="preserve">Clinic Capacity Audit Dashboard</t>
  </si>
  <si>
    <t xml:space="preserve">This view updates automatically as Kelley completes the audit.</t>
  </si>
  <si>
    <t xml:space="preserve">Spine Below Floor</t>
  </si>
  <si>
    <t xml:space="preserve">Spine Exceptions</t>
  </si>
  <si>
    <t xml:space="preserve">Ortho Gaps</t>
  </si>
  <si>
    <t xml:space="preserve">Weeks Requiring Action</t>
  </si>
  <si>
    <t xml:space="preserve">Spine Successful Weeks</t>
  </si>
  <si>
    <t xml:space="preserve">Avg Spine Days | Success</t>
  </si>
  <si>
    <t xml:space="preserve">Ortho Successful Weeks</t>
  </si>
  <si>
    <t xml:space="preserve">Avg Ortho Days | Success</t>
  </si>
  <si>
    <t xml:space="preserve">16-Week Outlook</t>
  </si>
  <si>
    <t xml:space="preserve">Spine Days</t>
  </si>
  <si>
    <t xml:space="preserve">Ortho Days</t>
  </si>
  <si>
    <t xml:space="preserve">Spine NPs</t>
  </si>
  <si>
    <t xml:space="preserve">Ortho NPs</t>
  </si>
  <si>
    <t xml:space="preserve">Blue-shaded dates = first 4 audit weeks (complete by Aug 14, 2026); gray dates = remaining 12 weeks (complete by Aug 31, 2026).</t>
  </si>
  <si>
    <t xml:space="preserve">Interpretation</t>
  </si>
  <si>
    <t xml:space="preserve">Clinic-day counts are the simple executive guardrail. When a week appears compliant but usable capacity is still weak, review the notes for shortened sessions, location mix, timing during the week, new-patient slot availability, or a schedule that opened too late for demand generation.</t>
  </si>
</sst>
</file>

<file path=xl/styles.xml><?xml version="1.0" encoding="utf-8"?>
<styleSheet xmlns="http://schemas.openxmlformats.org/spreadsheetml/2006/main">
  <numFmts count="5">
    <numFmt numFmtId="164" formatCode="General"/>
    <numFmt numFmtId="165" formatCode="0.0"/>
    <numFmt numFmtId="166" formatCode="0"/>
    <numFmt numFmtId="167" formatCode="#,##0"/>
    <numFmt numFmtId="168" formatCode="mmm\ d&quot;, &quot;yyyy"/>
  </numFmts>
  <fonts count="20">
    <font>
      <sz val="10"/>
      <name val="Arial"/>
      <family val="2"/>
      <charset val="1"/>
    </font>
    <font>
      <sz val="10"/>
      <name val="Arial"/>
      <family val="0"/>
    </font>
    <font>
      <sz val="10"/>
      <name val="Arial"/>
      <family val="0"/>
    </font>
    <font>
      <sz val="10"/>
      <name val="Arial"/>
      <family val="0"/>
    </font>
    <font>
      <b val="true"/>
      <sz val="18"/>
      <color rgb="FFFFFFFF"/>
      <name val="Calibri"/>
      <family val="0"/>
      <charset val="1"/>
    </font>
    <font>
      <sz val="10"/>
      <color rgb="FF0F2942"/>
      <name val="Calibri"/>
      <family val="0"/>
      <charset val="1"/>
    </font>
    <font>
      <sz val="11"/>
      <name val="Calibri"/>
      <family val="0"/>
      <charset val="1"/>
    </font>
    <font>
      <b val="true"/>
      <sz val="11"/>
      <color rgb="FFFFFFFF"/>
      <name val="Calibri"/>
      <family val="0"/>
      <charset val="1"/>
    </font>
    <font>
      <b val="true"/>
      <sz val="11"/>
      <color rgb="FF0F2942"/>
      <name val="Calibri"/>
      <family val="0"/>
      <charset val="1"/>
    </font>
    <font>
      <i val="true"/>
      <sz val="11"/>
      <color rgb="FF4B5563"/>
      <name val="Calibri"/>
      <family val="0"/>
      <charset val="1"/>
    </font>
    <font>
      <b val="true"/>
      <sz val="9"/>
      <color rgb="FF0F2942"/>
      <name val="Calibri"/>
      <family val="0"/>
      <charset val="1"/>
    </font>
    <font>
      <i val="true"/>
      <sz val="9"/>
      <color rgb="FF0F2942"/>
      <name val="Calibri"/>
      <family val="0"/>
      <charset val="1"/>
    </font>
    <font>
      <sz val="9"/>
      <color rgb="FF0F2942"/>
      <name val="Calibri"/>
      <family val="0"/>
      <charset val="1"/>
    </font>
    <font>
      <b val="true"/>
      <sz val="10"/>
      <color rgb="FFFFFFFF"/>
      <name val="Calibri"/>
      <family val="0"/>
      <charset val="1"/>
    </font>
    <font>
      <sz val="11"/>
      <color rgb="FF0F2942"/>
      <name val="Calibri"/>
      <family val="0"/>
      <charset val="1"/>
    </font>
    <font>
      <sz val="11"/>
      <color rgb="FF4B5563"/>
      <name val="Calibri"/>
      <family val="0"/>
      <charset val="1"/>
    </font>
    <font>
      <sz val="10"/>
      <name val="Arial"/>
      <family val="2"/>
    </font>
    <font>
      <i val="true"/>
      <sz val="11"/>
      <color rgb="FF0F2942"/>
      <name val="Calibri"/>
      <family val="0"/>
      <charset val="1"/>
    </font>
    <font>
      <b val="true"/>
      <sz val="16"/>
      <color rgb="FF0F2942"/>
      <name val="Calibri"/>
      <family val="0"/>
      <charset val="1"/>
    </font>
    <font>
      <i val="true"/>
      <sz val="9"/>
      <color rgb="FF4B5563"/>
      <name val="Calibri"/>
      <family val="0"/>
      <charset val="1"/>
    </font>
  </fonts>
  <fills count="12">
    <fill>
      <patternFill patternType="none"/>
    </fill>
    <fill>
      <patternFill patternType="gray125"/>
    </fill>
    <fill>
      <patternFill patternType="solid">
        <fgColor rgb="FF0F2942"/>
        <bgColor rgb="FF163A5F"/>
      </patternFill>
    </fill>
    <fill>
      <patternFill patternType="solid">
        <fgColor rgb="FFE8F1F8"/>
        <bgColor rgb="FFE6F4F1"/>
      </patternFill>
    </fill>
    <fill>
      <patternFill patternType="solid">
        <fgColor rgb="FF163A5F"/>
        <bgColor rgb="FF0F2942"/>
      </patternFill>
    </fill>
    <fill>
      <patternFill patternType="solid">
        <fgColor rgb="FFE6F4F1"/>
        <bgColor rgb="FFE8F1F8"/>
      </patternFill>
    </fill>
    <fill>
      <patternFill patternType="solid">
        <fgColor rgb="FFFFF4CC"/>
        <bgColor rgb="FFFFEDD5"/>
      </patternFill>
    </fill>
    <fill>
      <patternFill patternType="solid">
        <fgColor rgb="FFDCFCE7"/>
        <bgColor rgb="FFE6F4F1"/>
      </patternFill>
    </fill>
    <fill>
      <patternFill patternType="solid">
        <fgColor rgb="FFFFEDD5"/>
        <bgColor rgb="FFFFF4CC"/>
      </patternFill>
    </fill>
    <fill>
      <patternFill patternType="solid">
        <fgColor rgb="FFFEE2E2"/>
        <bgColor rgb="FFFFEDD5"/>
      </patternFill>
    </fill>
    <fill>
      <patternFill patternType="solid">
        <fgColor rgb="FFF3F4F6"/>
        <bgColor rgb="FFE8F1F8"/>
      </patternFill>
    </fill>
    <fill>
      <patternFill patternType="solid">
        <fgColor rgb="FF0E7490"/>
        <bgColor rgb="FF008080"/>
      </patternFill>
    </fill>
  </fills>
  <borders count="9">
    <border diagonalUp="false" diagonalDown="false">
      <left/>
      <right/>
      <top/>
      <bottom/>
      <diagonal/>
    </border>
    <border diagonalUp="false" diagonalDown="false">
      <left style="thin">
        <color rgb="FFCBD5E1"/>
      </left>
      <right/>
      <top style="thin">
        <color rgb="FFCBD5E1"/>
      </top>
      <bottom/>
      <diagonal/>
    </border>
    <border diagonalUp="false" diagonalDown="false">
      <left/>
      <right style="thin">
        <color rgb="FFCBD5E1"/>
      </right>
      <top style="thin">
        <color rgb="FFCBD5E1"/>
      </top>
      <bottom/>
      <diagonal/>
    </border>
    <border diagonalUp="false" diagonalDown="false">
      <left style="thin">
        <color rgb="FFCBD5E1"/>
      </left>
      <right/>
      <top/>
      <bottom style="thin">
        <color rgb="FFCBD5E1"/>
      </bottom>
      <diagonal/>
    </border>
    <border diagonalUp="false" diagonalDown="false">
      <left/>
      <right style="thin">
        <color rgb="FFCBD5E1"/>
      </right>
      <top/>
      <bottom style="thin">
        <color rgb="FFCBD5E1"/>
      </bottom>
      <diagonal/>
    </border>
    <border diagonalUp="false" diagonalDown="false">
      <left style="thin">
        <color rgb="FFCBD5E1"/>
      </left>
      <right style="thin">
        <color rgb="FFCBD5E1"/>
      </right>
      <top style="thin">
        <color rgb="FFCBD5E1"/>
      </top>
      <bottom style="thin">
        <color rgb="FFCBD5E1"/>
      </bottom>
      <diagonal/>
    </border>
    <border diagonalUp="false" diagonalDown="false">
      <left/>
      <right/>
      <top/>
      <bottom style="thin">
        <color rgb="FFD1D5DB"/>
      </bottom>
      <diagonal/>
    </border>
    <border diagonalUp="false" diagonalDown="false">
      <left/>
      <right/>
      <top/>
      <bottom style="thin">
        <color rgb="FFCBD5E1"/>
      </bottom>
      <diagonal/>
    </border>
    <border diagonalUp="false" diagonalDown="false">
      <left/>
      <right/>
      <top style="thin">
        <color rgb="FFCBD5E1"/>
      </top>
      <bottom style="thin">
        <color rgb="FFCBD5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3" borderId="0" xfId="0" applyFont="true" applyBorder="tru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7" fillId="4" borderId="0" xfId="0" applyFont="true" applyBorder="true" applyAlignment="true" applyProtection="false">
      <alignment horizontal="general" vertical="center" textRotation="0" wrapText="false" indent="0" shrinkToFit="false"/>
      <protection locked="true" hidden="false"/>
    </xf>
    <xf numFmtId="164" fontId="8" fillId="0" borderId="1" xfId="0" applyFont="true" applyBorder="true" applyAlignment="true" applyProtection="false">
      <alignment horizontal="general" vertical="center" textRotation="0" wrapText="false" indent="0" shrinkToFit="false"/>
      <protection locked="true" hidden="false"/>
    </xf>
    <xf numFmtId="164" fontId="6" fillId="0" borderId="2" xfId="0" applyFont="true" applyBorder="true" applyAlignment="true" applyProtection="false">
      <alignment horizontal="general" vertical="center" textRotation="0" wrapText="false" indent="0" shrinkToFit="false"/>
      <protection locked="true" hidden="false"/>
    </xf>
    <xf numFmtId="164" fontId="8" fillId="0" borderId="3" xfId="0" applyFont="true" applyBorder="true" applyAlignment="true" applyProtection="false">
      <alignment horizontal="general" vertical="center" textRotation="0" wrapText="false" indent="0" shrinkToFit="false"/>
      <protection locked="true" hidden="false"/>
    </xf>
    <xf numFmtId="164" fontId="6" fillId="0" borderId="4" xfId="0" applyFont="true" applyBorder="true" applyAlignment="true" applyProtection="false">
      <alignment horizontal="general" vertical="center" textRotation="0" wrapText="false" indent="0" shrinkToFit="false"/>
      <protection locked="true" hidden="false"/>
    </xf>
    <xf numFmtId="164" fontId="5" fillId="5" borderId="0" xfId="0" applyFont="true" applyBorder="true" applyAlignment="true" applyProtection="false">
      <alignment horizontal="general" vertical="center" textRotation="0" wrapText="tru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5" fontId="8" fillId="6" borderId="5"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general" vertical="center" textRotation="0" wrapText="true" indent="0" shrinkToFit="false"/>
      <protection locked="true" hidden="false"/>
    </xf>
    <xf numFmtId="166" fontId="8" fillId="6" borderId="5" xfId="0" applyFont="true" applyBorder="true" applyAlignment="true" applyProtection="false">
      <alignment horizontal="center" vertical="center" textRotation="0" wrapText="false" indent="0" shrinkToFit="false"/>
      <protection locked="true" hidden="false"/>
    </xf>
    <xf numFmtId="164" fontId="10" fillId="6" borderId="5" xfId="0" applyFont="true" applyBorder="true" applyAlignment="true" applyProtection="false">
      <alignment horizontal="center" vertical="center" textRotation="0" wrapText="true" indent="0" shrinkToFit="false"/>
      <protection locked="true" hidden="false"/>
    </xf>
    <xf numFmtId="164" fontId="10" fillId="7" borderId="5" xfId="0" applyFont="true" applyBorder="true" applyAlignment="true" applyProtection="false">
      <alignment horizontal="center" vertical="center" textRotation="0" wrapText="true" indent="0" shrinkToFit="false"/>
      <protection locked="true" hidden="false"/>
    </xf>
    <xf numFmtId="164" fontId="10" fillId="8" borderId="5" xfId="0" applyFont="true" applyBorder="true" applyAlignment="true" applyProtection="false">
      <alignment horizontal="center" vertical="center" textRotation="0" wrapText="true" indent="0" shrinkToFit="false"/>
      <protection locked="true" hidden="false"/>
    </xf>
    <xf numFmtId="164" fontId="10" fillId="9" borderId="5" xfId="0" applyFont="true" applyBorder="true" applyAlignment="true" applyProtection="false">
      <alignment horizontal="center" vertical="center" textRotation="0" wrapText="true" indent="0" shrinkToFit="false"/>
      <protection locked="true" hidden="false"/>
    </xf>
    <xf numFmtId="164" fontId="10" fillId="10" borderId="5" xfId="0" applyFont="true" applyBorder="true" applyAlignment="true" applyProtection="false">
      <alignment horizontal="center" vertical="center" textRotation="0" wrapText="true" indent="0" shrinkToFit="false"/>
      <protection locked="true" hidden="false"/>
    </xf>
    <xf numFmtId="164" fontId="11" fillId="3" borderId="0" xfId="0" applyFont="true" applyBorder="true" applyAlignment="true" applyProtection="false">
      <alignment horizontal="general" vertical="center" textRotation="0" wrapText="true" indent="0" shrinkToFit="false"/>
      <protection locked="true" hidden="false"/>
    </xf>
    <xf numFmtId="164" fontId="10" fillId="0" borderId="0" xfId="0" applyFont="true" applyBorder="fals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3" fillId="11" borderId="6" xfId="0" applyFont="true" applyBorder="true" applyAlignment="true" applyProtection="false">
      <alignment horizontal="center" vertical="center" textRotation="0" wrapText="true" indent="0" shrinkToFit="false"/>
      <protection locked="true" hidden="false"/>
    </xf>
    <xf numFmtId="164" fontId="8" fillId="0" borderId="6" xfId="0" applyFont="true" applyBorder="true" applyAlignment="true" applyProtection="false">
      <alignment horizontal="left" vertical="center" textRotation="0" wrapText="true" indent="0" shrinkToFit="false"/>
      <protection locked="true" hidden="false"/>
    </xf>
    <xf numFmtId="164" fontId="14" fillId="0" borderId="6" xfId="0" applyFont="true" applyBorder="true" applyAlignment="true" applyProtection="false">
      <alignment horizontal="center" vertical="center" textRotation="0" wrapText="true" indent="0" shrinkToFit="false"/>
      <protection locked="true" hidden="false"/>
    </xf>
    <xf numFmtId="164" fontId="5" fillId="0" borderId="6" xfId="0" applyFont="true" applyBorder="true" applyAlignment="true" applyProtection="false">
      <alignment horizontal="left" vertical="center" textRotation="0" wrapText="true" indent="0" shrinkToFit="false"/>
      <protection locked="true" hidden="false"/>
    </xf>
    <xf numFmtId="167" fontId="14" fillId="0" borderId="6"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true" applyProtection="false">
      <alignment horizontal="general" vertical="center" textRotation="0" wrapText="true" indent="0" shrinkToFit="false"/>
      <protection locked="true" hidden="false"/>
    </xf>
    <xf numFmtId="167" fontId="8" fillId="10" borderId="6"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true" applyAlignment="true" applyProtection="false">
      <alignment horizontal="general" vertical="center" textRotation="0" wrapText="true" indent="0" shrinkToFit="false"/>
      <protection locked="true" hidden="false"/>
    </xf>
    <xf numFmtId="164" fontId="5" fillId="8" borderId="0" xfId="0" applyFont="true" applyBorder="true" applyAlignment="true" applyProtection="false">
      <alignment horizontal="general" vertical="center" textRotation="0" wrapText="true" indent="0" shrinkToFit="false"/>
      <protection locked="true" hidden="false"/>
    </xf>
    <xf numFmtId="164" fontId="5" fillId="3" borderId="0"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13" fillId="11" borderId="5" xfId="0" applyFont="true" applyBorder="true" applyAlignment="true" applyProtection="false">
      <alignment horizontal="center" vertical="center" textRotation="0" wrapText="true" indent="0" shrinkToFit="false"/>
      <protection locked="true" hidden="false"/>
    </xf>
    <xf numFmtId="164" fontId="6" fillId="3" borderId="7" xfId="0" applyFont="true" applyBorder="true" applyAlignment="true" applyProtection="false">
      <alignment horizontal="center" vertical="center" textRotation="0" wrapText="true" indent="0" shrinkToFit="false"/>
      <protection locked="true" hidden="false"/>
    </xf>
    <xf numFmtId="168" fontId="6" fillId="3" borderId="7" xfId="0" applyFont="true" applyBorder="true" applyAlignment="true" applyProtection="false">
      <alignment horizontal="center" vertical="center" textRotation="0" wrapText="true" indent="0" shrinkToFit="false"/>
      <protection locked="true" hidden="false"/>
    </xf>
    <xf numFmtId="164" fontId="6" fillId="6" borderId="7" xfId="0" applyFont="true" applyBorder="true" applyAlignment="true" applyProtection="false">
      <alignment horizontal="center" vertical="center" textRotation="0" wrapText="true" indent="0" shrinkToFit="false"/>
      <protection locked="true" hidden="false"/>
    </xf>
    <xf numFmtId="165" fontId="6" fillId="10" borderId="7" xfId="0" applyFont="true" applyBorder="true" applyAlignment="true" applyProtection="false">
      <alignment horizontal="center" vertical="center" textRotation="0" wrapText="true" indent="0" shrinkToFit="false"/>
      <protection locked="true" hidden="false"/>
    </xf>
    <xf numFmtId="164" fontId="6" fillId="10" borderId="7" xfId="0" applyFont="true" applyBorder="true" applyAlignment="true" applyProtection="false">
      <alignment horizontal="center" vertical="center" textRotation="0" wrapText="true" indent="0" shrinkToFit="false"/>
      <protection locked="true" hidden="false"/>
    </xf>
    <xf numFmtId="167" fontId="6" fillId="6" borderId="7" xfId="0" applyFont="true" applyBorder="true" applyAlignment="true" applyProtection="false">
      <alignment horizontal="center" vertical="center" textRotation="0" wrapText="true" indent="0" shrinkToFit="false"/>
      <protection locked="true" hidden="false"/>
    </xf>
    <xf numFmtId="164" fontId="6" fillId="6" borderId="7" xfId="0" applyFont="true" applyBorder="true" applyAlignment="true" applyProtection="false">
      <alignment horizontal="general" vertical="center" textRotation="0" wrapText="true" indent="0" shrinkToFit="false"/>
      <protection locked="true" hidden="false"/>
    </xf>
    <xf numFmtId="164" fontId="6" fillId="3" borderId="8" xfId="0" applyFont="true" applyBorder="true" applyAlignment="true" applyProtection="false">
      <alignment horizontal="center" vertical="center" textRotation="0" wrapText="true" indent="0" shrinkToFit="false"/>
      <protection locked="true" hidden="false"/>
    </xf>
    <xf numFmtId="168" fontId="6" fillId="3" borderId="8" xfId="0" applyFont="true" applyBorder="true" applyAlignment="true" applyProtection="false">
      <alignment horizontal="center" vertical="center" textRotation="0" wrapText="true" indent="0" shrinkToFit="false"/>
      <protection locked="true" hidden="false"/>
    </xf>
    <xf numFmtId="164" fontId="6" fillId="6" borderId="8" xfId="0" applyFont="true" applyBorder="true" applyAlignment="true" applyProtection="false">
      <alignment horizontal="center" vertical="center" textRotation="0" wrapText="true" indent="0" shrinkToFit="false"/>
      <protection locked="true" hidden="false"/>
    </xf>
    <xf numFmtId="165" fontId="6" fillId="10" borderId="8" xfId="0" applyFont="true" applyBorder="true" applyAlignment="true" applyProtection="false">
      <alignment horizontal="center" vertical="center" textRotation="0" wrapText="true" indent="0" shrinkToFit="false"/>
      <protection locked="true" hidden="false"/>
    </xf>
    <xf numFmtId="164" fontId="6" fillId="10" borderId="8" xfId="0" applyFont="true" applyBorder="true" applyAlignment="true" applyProtection="false">
      <alignment horizontal="center" vertical="center" textRotation="0" wrapText="true" indent="0" shrinkToFit="false"/>
      <protection locked="true" hidden="false"/>
    </xf>
    <xf numFmtId="167" fontId="6" fillId="6" borderId="8" xfId="0" applyFont="true" applyBorder="true" applyAlignment="true" applyProtection="false">
      <alignment horizontal="center" vertical="center" textRotation="0" wrapText="true" indent="0" shrinkToFit="false"/>
      <protection locked="true" hidden="false"/>
    </xf>
    <xf numFmtId="164" fontId="6" fillId="6" borderId="8" xfId="0" applyFont="true" applyBorder="true" applyAlignment="true" applyProtection="false">
      <alignment horizontal="general" vertical="center" textRotation="0" wrapText="true" indent="0" shrinkToFit="false"/>
      <protection locked="true" hidden="false"/>
    </xf>
    <xf numFmtId="164" fontId="6" fillId="0" borderId="8" xfId="0" applyFont="true" applyBorder="true" applyAlignment="true" applyProtection="false">
      <alignment horizontal="center" vertical="center" textRotation="0" wrapText="true" indent="0" shrinkToFit="false"/>
      <protection locked="true" hidden="false"/>
    </xf>
    <xf numFmtId="168" fontId="6" fillId="0" borderId="8" xfId="0" applyFont="true" applyBorder="true" applyAlignment="true" applyProtection="false">
      <alignment horizontal="center" vertical="center" textRotation="0" wrapText="true" indent="0" shrinkToFit="false"/>
      <protection locked="true" hidden="false"/>
    </xf>
    <xf numFmtId="164" fontId="17" fillId="5" borderId="0" xfId="0" applyFont="true" applyBorder="true" applyAlignment="true" applyProtection="false">
      <alignment horizontal="general" vertical="bottom" textRotation="0" wrapText="false" indent="0" shrinkToFit="false"/>
      <protection locked="true" hidden="false"/>
    </xf>
    <xf numFmtId="168" fontId="6" fillId="6" borderId="7" xfId="0" applyFont="true" applyBorder="true" applyAlignment="true" applyProtection="false">
      <alignment horizontal="center" vertical="center" textRotation="0" wrapText="true" indent="0" shrinkToFit="false"/>
      <protection locked="true" hidden="false"/>
    </xf>
    <xf numFmtId="167" fontId="6" fillId="10" borderId="7" xfId="0" applyFont="true" applyBorder="true" applyAlignment="true" applyProtection="false">
      <alignment horizontal="center" vertical="center" textRotation="0" wrapText="true" indent="0" shrinkToFit="false"/>
      <protection locked="true" hidden="false"/>
    </xf>
    <xf numFmtId="168" fontId="6" fillId="6" borderId="8" xfId="0" applyFont="true" applyBorder="true" applyAlignment="true" applyProtection="false">
      <alignment horizontal="center" vertical="center" textRotation="0" wrapText="true" indent="0" shrinkToFit="false"/>
      <protection locked="true" hidden="false"/>
    </xf>
    <xf numFmtId="167" fontId="6" fillId="10" borderId="8"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general" vertical="bottom" textRotation="0" wrapText="false" indent="0" shrinkToFit="false"/>
      <protection locked="true" hidden="false"/>
    </xf>
    <xf numFmtId="166" fontId="18" fillId="10" borderId="5" xfId="0" applyFont="true" applyBorder="true" applyAlignment="true" applyProtection="false">
      <alignment horizontal="center" vertical="center" textRotation="0" wrapText="false" indent="0" shrinkToFit="false"/>
      <protection locked="true" hidden="false"/>
    </xf>
    <xf numFmtId="165" fontId="18" fillId="10" borderId="5" xfId="0" applyFont="true" applyBorder="true" applyAlignment="true" applyProtection="false">
      <alignment horizontal="center" vertical="center" textRotation="0" wrapText="false" indent="0" shrinkToFit="false"/>
      <protection locked="true" hidden="false"/>
    </xf>
    <xf numFmtId="168" fontId="6" fillId="3" borderId="7" xfId="0" applyFont="true" applyBorder="true" applyAlignment="true" applyProtection="false">
      <alignment horizontal="center" vertical="center" textRotation="0" wrapText="false" indent="0" shrinkToFit="false"/>
      <protection locked="true" hidden="false"/>
    </xf>
    <xf numFmtId="165" fontId="6" fillId="5" borderId="7" xfId="0" applyFont="true" applyBorder="true" applyAlignment="true" applyProtection="false">
      <alignment horizontal="center" vertical="center" textRotation="0" wrapText="false" indent="0" shrinkToFit="false"/>
      <protection locked="true" hidden="false"/>
    </xf>
    <xf numFmtId="164" fontId="6" fillId="5" borderId="7" xfId="0" applyFont="true" applyBorder="true" applyAlignment="true" applyProtection="false">
      <alignment horizontal="center" vertical="center" textRotation="0" wrapText="false" indent="0" shrinkToFit="false"/>
      <protection locked="true" hidden="false"/>
    </xf>
    <xf numFmtId="167" fontId="6" fillId="5" borderId="7" xfId="0" applyFont="true" applyBorder="true" applyAlignment="true" applyProtection="false">
      <alignment horizontal="center" vertical="center" textRotation="0" wrapText="false" indent="0" shrinkToFit="false"/>
      <protection locked="true" hidden="false"/>
    </xf>
    <xf numFmtId="168" fontId="6" fillId="3" borderId="8" xfId="0" applyFont="true" applyBorder="true" applyAlignment="true" applyProtection="false">
      <alignment horizontal="center" vertical="center" textRotation="0" wrapText="false" indent="0" shrinkToFit="false"/>
      <protection locked="true" hidden="false"/>
    </xf>
    <xf numFmtId="165" fontId="6" fillId="5" borderId="8" xfId="0" applyFont="true" applyBorder="true" applyAlignment="true" applyProtection="false">
      <alignment horizontal="center" vertical="center" textRotation="0" wrapText="false" indent="0" shrinkToFit="false"/>
      <protection locked="true" hidden="false"/>
    </xf>
    <xf numFmtId="164" fontId="6" fillId="5" borderId="8" xfId="0" applyFont="true" applyBorder="true" applyAlignment="true" applyProtection="false">
      <alignment horizontal="center" vertical="center" textRotation="0" wrapText="false" indent="0" shrinkToFit="false"/>
      <protection locked="true" hidden="false"/>
    </xf>
    <xf numFmtId="167" fontId="6" fillId="5" borderId="8" xfId="0" applyFont="true" applyBorder="true" applyAlignment="true" applyProtection="false">
      <alignment horizontal="center" vertical="center" textRotation="0" wrapText="false" indent="0" shrinkToFit="false"/>
      <protection locked="true" hidden="false"/>
    </xf>
    <xf numFmtId="168" fontId="6" fillId="10" borderId="8" xfId="0" applyFont="true" applyBorder="true" applyAlignment="true" applyProtection="false">
      <alignment horizontal="center" vertical="center" textRotation="0" wrapText="false" indent="0" shrinkToFit="false"/>
      <protection locked="true" hidden="false"/>
    </xf>
    <xf numFmtId="165" fontId="6" fillId="0" borderId="8" xfId="0" applyFont="true" applyBorder="true" applyAlignment="true" applyProtection="false">
      <alignment horizontal="center" vertical="center" textRotation="0" wrapText="false" indent="0" shrinkToFit="false"/>
      <protection locked="true" hidden="false"/>
    </xf>
    <xf numFmtId="164" fontId="6" fillId="0" borderId="8" xfId="0" applyFont="true" applyBorder="true" applyAlignment="true" applyProtection="false">
      <alignment horizontal="center" vertical="center" textRotation="0" wrapText="false" indent="0" shrinkToFit="false"/>
      <protection locked="true" hidden="false"/>
    </xf>
    <xf numFmtId="167" fontId="6" fillId="0" borderId="8" xfId="0" applyFont="true" applyBorder="true" applyAlignment="true" applyProtection="false">
      <alignment horizontal="center" vertical="center" textRotation="0" wrapText="false" indent="0" shrinkToFit="false"/>
      <protection locked="true" hidden="false"/>
    </xf>
    <xf numFmtId="164" fontId="19" fillId="0" borderId="0"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0E7490"/>
          <bgColor rgb="FF000000"/>
        </patternFill>
      </fill>
    </dxf>
    <dxf>
      <fill>
        <patternFill patternType="solid">
          <fgColor rgb="FFE8F1F8"/>
          <bgColor rgb="FF000000"/>
        </patternFill>
      </fill>
    </dxf>
    <dxf>
      <fill>
        <patternFill patternType="solid">
          <bgColor rgb="FF000000"/>
        </patternFill>
      </fill>
    </dxf>
    <dxf>
      <fill>
        <patternFill patternType="solid">
          <fgColor rgb="FFFFFFFF"/>
          <bgColor rgb="FF000000"/>
        </patternFill>
      </fill>
    </dxf>
    <dxf>
      <fill>
        <patternFill patternType="solid">
          <fgColor rgb="FFFFF4CC"/>
          <bgColor rgb="FF000000"/>
        </patternFill>
      </fill>
    </dxf>
    <dxf>
      <fill>
        <patternFill patternType="solid">
          <fgColor rgb="FFF3F4F6"/>
          <bgColor rgb="FF000000"/>
        </patternFill>
      </fill>
    </dxf>
    <dxf>
      <fill>
        <patternFill patternType="solid">
          <fgColor rgb="FF4B5563"/>
          <bgColor rgb="FF000000"/>
        </patternFill>
      </fill>
    </dxf>
    <dxf>
      <font>
        <b val="1"/>
        <color rgb="FF166534"/>
      </font>
      <fill>
        <patternFill>
          <bgColor rgb="FFDCFCE7"/>
        </patternFill>
      </fill>
    </dxf>
    <dxf>
      <font>
        <b val="1"/>
        <color rgb="FF9A3412"/>
      </font>
      <fill>
        <patternFill>
          <bgColor rgb="FFFFEDD5"/>
        </patternFill>
      </fill>
    </dxf>
    <dxf>
      <font>
        <b val="1"/>
        <color rgb="FF991B1B"/>
      </font>
      <fill>
        <patternFill>
          <bgColor rgb="FFFEE2E2"/>
        </patternFill>
      </fill>
    </dxf>
    <dxf>
      <font>
        <i val="1"/>
        <color rgb="FF4B5563"/>
      </font>
      <fill>
        <patternFill>
          <bgColor rgb="FFF3F4F6"/>
        </patternFill>
      </fill>
    </dxf>
    <dxf>
      <font>
        <i val="1"/>
        <color rgb="FF4B5563"/>
      </font>
    </dxf>
    <dxf>
      <fill>
        <patternFill>
          <bgColor rgb="FFFEE2E2"/>
        </patternFill>
      </fill>
    </dxf>
    <dxf>
      <fill>
        <patternFill>
          <bgColor rgb="FFDCFCE7"/>
        </patternFill>
      </fill>
    </dxf>
    <dxf>
      <fill>
        <patternFill>
          <bgColor rgb="FFFFEDD5"/>
        </patternFill>
      </fill>
    </dxf>
  </dxfs>
  <colors>
    <indexedColors>
      <rgbColor rgb="FF000000"/>
      <rgbColor rgb="FFFFFFFF"/>
      <rgbColor rgb="FFFF0000"/>
      <rgbColor rgb="FF00FF00"/>
      <rgbColor rgb="FF0000FF"/>
      <rgbColor rgb="FFFFFF00"/>
      <rgbColor rgb="FFFF00FF"/>
      <rgbColor rgb="FF00FFFF"/>
      <rgbColor rgb="FF991B1B"/>
      <rgbColor rgb="FF166534"/>
      <rgbColor rgb="FF000080"/>
      <rgbColor rgb="FF808000"/>
      <rgbColor rgb="FF800080"/>
      <rgbColor rgb="FF0E7490"/>
      <rgbColor rgb="FFD1D5DB"/>
      <rgbColor rgb="FF808080"/>
      <rgbColor rgb="FF9999FF"/>
      <rgbColor rgb="FF993366"/>
      <rgbColor rgb="FFFFF4CC"/>
      <rgbColor rgb="FFDCFCE7"/>
      <rgbColor rgb="FF660066"/>
      <rgbColor rgb="FFFF8080"/>
      <rgbColor rgb="FF0066CC"/>
      <rgbColor rgb="FFCBD5E1"/>
      <rgbColor rgb="FF000080"/>
      <rgbColor rgb="FFFF00FF"/>
      <rgbColor rgb="FFFFFF00"/>
      <rgbColor rgb="FF00FFFF"/>
      <rgbColor rgb="FF800080"/>
      <rgbColor rgb="FF800000"/>
      <rgbColor rgb="FF008080"/>
      <rgbColor rgb="FF0000FF"/>
      <rgbColor rgb="FF00CCFF"/>
      <rgbColor rgb="FFE6F4F1"/>
      <rgbColor rgb="FFE8F1F8"/>
      <rgbColor rgb="FFFFEDD5"/>
      <rgbColor rgb="FFF3F4F6"/>
      <rgbColor rgb="FFFF99CC"/>
      <rgbColor rgb="FFCC99FF"/>
      <rgbColor rgb="FFFEE2E2"/>
      <rgbColor rgb="FF3366FF"/>
      <rgbColor rgb="FF33CCCC"/>
      <rgbColor rgb="FF99CC00"/>
      <rgbColor rgb="FFFFCC00"/>
      <rgbColor rgb="FFFF9900"/>
      <rgbColor rgb="FFD97706"/>
      <rgbColor rgb="FF4B5563"/>
      <rgbColor rgb="FF969696"/>
      <rgbColor rgb="FF163A5F"/>
      <rgbColor rgb="FF339966"/>
      <rgbColor rgb="FF003300"/>
      <rgbColor rgb="FF333300"/>
      <rgbColor rgb="FF9A3412"/>
      <rgbColor rgb="FF993366"/>
      <rgbColor rgb="FF333399"/>
      <rgbColor rgb="FF0F294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ables/table1.xml><?xml version="1.0" encoding="utf-8"?>
<table xmlns="http://schemas.openxmlformats.org/spreadsheetml/2006/main" id="1" name="HistoricalBenchmarksTable" displayName="HistoricalBenchmarksTable" ref="A6:J30" headerRowCount="1" totalsRowCount="0" totalsRowShown="0">
  <tableColumns count="10">
    <tableColumn id="1" name="Week Starting"/>
    <tableColumn id="2" name="Service Line"/>
    <tableColumn id="3" name="Full Days"/>
    <tableColumn id="4" name="Half-Days"/>
    <tableColumn id="5" name="Total Clinic Days"/>
    <tableColumn id="6" name="New Patients"/>
    <tableColumn id="7" name="Goal"/>
    <tableColumn id="8" name="Result"/>
    <tableColumn id="9" name="Capacity Notes"/>
    <tableColumn id="10" name="Source / Reference"/>
  </tableColumns>
</table>
</file>

<file path=xl/tables/table2.xml><?xml version="1.0" encoding="utf-8"?>
<table xmlns="http://schemas.openxmlformats.org/spreadsheetml/2006/main" id="2" name="WeeklyAuditTable" displayName="WeeklyAuditTable" ref="A6:W22" headerRowCount="1" totalsRowCount="0" totalsRowShown="0">
  <tableColumns count="23">
    <tableColumn id="1" name="Week #"/>
    <tableColumn id="2" name="Week Starting"/>
    <tableColumn id="3" name="Audit Phase"/>
    <tableColumn id="4" name="Spine Full Days"/>
    <tableColumn id="5" name="Spine Half-Days"/>
    <tableColumn id="6" name="Spine Total Days"/>
    <tableColumn id="7" name="Spine Standard"/>
    <tableColumn id="8" name="Spine Status"/>
    <tableColumn id="9" name="Ortho Full Days"/>
    <tableColumn id="10" name="Ortho Half-Days"/>
    <tableColumn id="11" name="Ortho Total Days"/>
    <tableColumn id="12" name="Ortho Physicians Out"/>
    <tableColumn id="13" name="Ortho Required"/>
    <tableColumn id="14" name="Ortho Status"/>
    <tableColumn id="15" name="Spine New Patients"/>
    <tableColumn id="16" name="Spine 60+"/>
    <tableColumn id="17" name="Ortho New Patients"/>
    <tableColumn id="18" name="Ortho 130+"/>
    <tableColumn id="19" name="Physicians Out / PTO"/>
    <tableColumn id="20" name="Surgery / Other Conflict"/>
    <tableColumn id="21" name="Capacity Notes"/>
    <tableColumn id="22" name="Planned Action"/>
    <tableColumn id="23" name="System Flag"/>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Relationship Id="rId3"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2942"/>
    <pageSetUpPr fitToPage="true"/>
  </sheetPr>
  <dimension ref="A1:H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0.76953125" defaultRowHeight="15" zeroHeight="false" outlineLevelRow="0" outlineLevelCol="0"/>
  <cols>
    <col min="1" max="1" width="41" customWidth="1"/>
    <col min="2" max="2" width="18" customWidth="1"/>
    <col min="3" max="3" width="3" customWidth="1"/>
    <col min="4" max="4" width="15" customWidth="1"/>
    <col min="5" max="5" width="15" customWidth="1"/>
    <col min="6" max="6" width="15" customWidth="1"/>
    <col min="7" max="7" width="15" customWidth="1"/>
    <col min="8" max="8" width="15" customWidth="1"/>
  </cols>
  <sheetData>
    <row r="1" customFormat="false" ht="33.75" hidden="false" customHeight="true" outlineLevel="0" collapsed="false">
      <c r="A1" s="1" t="s">
        <v>0</v>
      </c>
      <c r="B1" s="1"/>
      <c r="C1" s="1"/>
      <c r="D1" s="1"/>
      <c r="E1" s="1"/>
      <c r="F1" s="1"/>
      <c r="G1" s="1"/>
      <c r="H1" s="1"/>
    </row>
    <row r="2" customFormat="false" ht="37.5" hidden="false" customHeight="true" outlineLevel="0" collapsed="false">
      <c r="A2" s="2" t="s">
        <v>1</v>
      </c>
      <c r="B2" s="2"/>
      <c r="C2" s="2"/>
      <c r="D2" s="2"/>
      <c r="E2" s="2"/>
      <c r="F2" s="2"/>
      <c r="G2" s="2"/>
      <c r="H2" s="2"/>
    </row>
    <row r="3" customFormat="false" ht="15" hidden="false" customHeight="true" outlineLevel="0" collapsed="false">
      <c r="A3" s="3"/>
      <c r="B3" s="3"/>
      <c r="C3" s="3"/>
      <c r="D3" s="3"/>
      <c r="E3" s="3"/>
      <c r="F3" s="3"/>
      <c r="G3" s="3"/>
      <c r="H3" s="3"/>
    </row>
    <row r="4" customFormat="false" ht="22.5" hidden="false" customHeight="true" outlineLevel="0" collapsed="false">
      <c r="A4" s="4" t="s">
        <v>2</v>
      </c>
      <c r="B4" s="4"/>
      <c r="C4" s="4"/>
      <c r="D4" s="4"/>
      <c r="E4" s="4"/>
      <c r="F4" s="4"/>
      <c r="G4" s="4"/>
      <c r="H4" s="4"/>
    </row>
    <row r="5" customFormat="false" ht="15" hidden="false" customHeight="true" outlineLevel="0" collapsed="false">
      <c r="A5" s="5" t="s">
        <v>3</v>
      </c>
      <c r="B5" s="6" t="s">
        <v>4</v>
      </c>
      <c r="C5" s="3"/>
      <c r="D5" s="3"/>
      <c r="E5" s="3"/>
      <c r="F5" s="3"/>
      <c r="G5" s="3"/>
      <c r="H5" s="3"/>
    </row>
    <row r="6" customFormat="false" ht="15" hidden="false" customHeight="true" outlineLevel="0" collapsed="false">
      <c r="A6" s="7" t="s">
        <v>5</v>
      </c>
      <c r="B6" s="8" t="s">
        <v>6</v>
      </c>
      <c r="C6" s="3"/>
      <c r="D6" s="3"/>
      <c r="E6" s="3"/>
      <c r="F6" s="3"/>
      <c r="G6" s="3"/>
      <c r="H6" s="3"/>
    </row>
    <row r="7" customFormat="false" ht="15" hidden="false" customHeight="true" outlineLevel="0" collapsed="false">
      <c r="A7" s="3"/>
      <c r="B7" s="3"/>
      <c r="C7" s="3"/>
      <c r="D7" s="3"/>
      <c r="E7" s="3"/>
      <c r="F7" s="3"/>
      <c r="G7" s="3"/>
      <c r="H7" s="3"/>
    </row>
    <row r="8" customFormat="false" ht="22.5" hidden="false" customHeight="true" outlineLevel="0" collapsed="false">
      <c r="A8" s="4" t="s">
        <v>7</v>
      </c>
      <c r="B8" s="4"/>
      <c r="C8" s="4"/>
      <c r="D8" s="4"/>
      <c r="E8" s="4"/>
      <c r="F8" s="4"/>
      <c r="G8" s="4"/>
      <c r="H8" s="4"/>
    </row>
    <row r="9" customFormat="false" ht="33.75" hidden="false" customHeight="true" outlineLevel="0" collapsed="false">
      <c r="A9" s="9" t="s">
        <v>8</v>
      </c>
      <c r="B9" s="9"/>
      <c r="C9" s="9"/>
      <c r="D9" s="9"/>
      <c r="E9" s="9"/>
      <c r="F9" s="9"/>
      <c r="G9" s="9"/>
      <c r="H9" s="9"/>
    </row>
    <row r="10" customFormat="false" ht="33.75" hidden="false" customHeight="true" outlineLevel="0" collapsed="false">
      <c r="A10" s="9"/>
      <c r="B10" s="9"/>
      <c r="C10" s="9"/>
      <c r="D10" s="9"/>
      <c r="E10" s="9"/>
      <c r="F10" s="9"/>
      <c r="G10" s="9"/>
      <c r="H10" s="9"/>
    </row>
    <row r="11" customFormat="false" ht="15" hidden="false" customHeight="true" outlineLevel="0" collapsed="false">
      <c r="A11" s="3"/>
      <c r="B11" s="3"/>
      <c r="C11" s="3"/>
      <c r="D11" s="3"/>
      <c r="E11" s="3"/>
      <c r="F11" s="3"/>
      <c r="G11" s="3"/>
      <c r="H11" s="3"/>
    </row>
    <row r="12" customFormat="false" ht="22.5" hidden="false" customHeight="true" outlineLevel="0" collapsed="false">
      <c r="A12" s="4" t="s">
        <v>9</v>
      </c>
      <c r="B12" s="4"/>
      <c r="C12" s="4"/>
      <c r="D12" s="4"/>
      <c r="E12" s="4"/>
      <c r="F12" s="4"/>
      <c r="G12" s="4"/>
      <c r="H12" s="4"/>
    </row>
    <row r="13" customFormat="false" ht="15" hidden="false" customHeight="true" outlineLevel="0" collapsed="false">
      <c r="A13" s="10" t="s">
        <v>10</v>
      </c>
      <c r="B13" s="11" t="n">
        <v>9</v>
      </c>
      <c r="C13" s="3"/>
      <c r="D13" s="12" t="s">
        <v>11</v>
      </c>
      <c r="E13" s="12"/>
      <c r="F13" s="12"/>
      <c r="G13" s="12"/>
      <c r="H13" s="12"/>
    </row>
    <row r="14" customFormat="false" ht="15" hidden="false" customHeight="true" outlineLevel="0" collapsed="false">
      <c r="A14" s="10" t="s">
        <v>12</v>
      </c>
      <c r="B14" s="11" t="n">
        <v>8</v>
      </c>
      <c r="C14" s="3"/>
      <c r="D14" s="12" t="s">
        <v>13</v>
      </c>
      <c r="E14" s="12"/>
      <c r="F14" s="12"/>
      <c r="G14" s="12"/>
      <c r="H14" s="12"/>
    </row>
    <row r="15" customFormat="false" ht="30" hidden="false" customHeight="true" outlineLevel="0" collapsed="false">
      <c r="A15" s="10" t="s">
        <v>14</v>
      </c>
      <c r="B15" s="11" t="n">
        <v>16</v>
      </c>
      <c r="C15" s="3"/>
      <c r="D15" s="12" t="s">
        <v>15</v>
      </c>
      <c r="E15" s="12"/>
      <c r="F15" s="12"/>
      <c r="G15" s="12"/>
      <c r="H15" s="12"/>
    </row>
    <row r="16" customFormat="false" ht="15" hidden="false" customHeight="true" outlineLevel="0" collapsed="false">
      <c r="A16" s="10" t="s">
        <v>16</v>
      </c>
      <c r="B16" s="11" t="n">
        <v>15</v>
      </c>
      <c r="C16" s="3"/>
      <c r="D16" s="12" t="s">
        <v>17</v>
      </c>
      <c r="E16" s="12"/>
      <c r="F16" s="12"/>
      <c r="G16" s="12"/>
      <c r="H16" s="12"/>
    </row>
    <row r="17" customFormat="false" ht="15" hidden="false" customHeight="true" outlineLevel="0" collapsed="false">
      <c r="A17" s="10" t="s">
        <v>18</v>
      </c>
      <c r="B17" s="11" t="n">
        <v>14</v>
      </c>
      <c r="C17" s="3"/>
      <c r="D17" s="12" t="s">
        <v>19</v>
      </c>
      <c r="E17" s="12"/>
      <c r="F17" s="12"/>
      <c r="G17" s="12"/>
      <c r="H17" s="12"/>
    </row>
    <row r="18" customFormat="false" ht="15" hidden="false" customHeight="true" outlineLevel="0" collapsed="false">
      <c r="A18" s="10" t="s">
        <v>20</v>
      </c>
      <c r="B18" s="13" t="n">
        <v>60</v>
      </c>
      <c r="C18" s="3"/>
      <c r="D18" s="12" t="s">
        <v>21</v>
      </c>
      <c r="E18" s="12"/>
      <c r="F18" s="12"/>
      <c r="G18" s="12"/>
      <c r="H18" s="12"/>
    </row>
    <row r="19" customFormat="false" ht="15" hidden="false" customHeight="true" outlineLevel="0" collapsed="false">
      <c r="A19" s="10" t="s">
        <v>22</v>
      </c>
      <c r="B19" s="13" t="n">
        <v>130</v>
      </c>
      <c r="C19" s="3"/>
      <c r="D19" s="12" t="s">
        <v>21</v>
      </c>
      <c r="E19" s="12"/>
      <c r="F19" s="12"/>
      <c r="G19" s="12"/>
      <c r="H19" s="12"/>
    </row>
    <row r="20" customFormat="false" ht="15" hidden="false" customHeight="true" outlineLevel="0" collapsed="false">
      <c r="A20" s="3"/>
      <c r="B20" s="3"/>
      <c r="C20" s="3"/>
      <c r="D20" s="3"/>
      <c r="E20" s="3"/>
      <c r="F20" s="3"/>
      <c r="G20" s="3"/>
      <c r="H20" s="3"/>
    </row>
    <row r="21" customFormat="false" ht="22.5" hidden="false" customHeight="true" outlineLevel="0" collapsed="false">
      <c r="A21" s="4" t="s">
        <v>23</v>
      </c>
      <c r="B21" s="4"/>
      <c r="C21" s="4"/>
      <c r="D21" s="4"/>
      <c r="E21" s="4"/>
      <c r="F21" s="4"/>
      <c r="G21" s="4"/>
      <c r="H21" s="4"/>
    </row>
    <row r="22" customFormat="false" ht="27.75" hidden="false" customHeight="true" outlineLevel="0" collapsed="false">
      <c r="A22" s="14" t="s">
        <v>24</v>
      </c>
      <c r="B22" s="14"/>
      <c r="C22" s="15" t="s">
        <v>25</v>
      </c>
      <c r="D22" s="15"/>
      <c r="E22" s="16" t="s">
        <v>26</v>
      </c>
      <c r="F22" s="16"/>
      <c r="G22" s="17" t="s">
        <v>27</v>
      </c>
      <c r="H22" s="17"/>
    </row>
    <row r="23" customFormat="false" ht="27.75" hidden="false" customHeight="true" outlineLevel="0" collapsed="false">
      <c r="A23" s="18" t="s">
        <v>28</v>
      </c>
      <c r="B23" s="18"/>
      <c r="C23" s="19" t="s">
        <v>29</v>
      </c>
      <c r="D23" s="19"/>
      <c r="E23" s="19"/>
      <c r="F23" s="19"/>
      <c r="G23" s="19"/>
      <c r="H23" s="19"/>
    </row>
    <row r="24" customFormat="false" ht="15" hidden="false" customHeight="true" outlineLevel="0" collapsed="false">
      <c r="A24" s="20"/>
      <c r="C24" s="21"/>
    </row>
    <row r="26" customFormat="false" ht="22.5" hidden="false" customHeight="true" outlineLevel="0" collapsed="false">
      <c r="A26" s="4" t="s">
        <v>30</v>
      </c>
      <c r="B26" s="4"/>
      <c r="C26" s="4"/>
      <c r="D26" s="4"/>
      <c r="E26" s="4"/>
      <c r="F26" s="4"/>
      <c r="G26" s="4"/>
      <c r="H26" s="4"/>
    </row>
    <row r="27" customFormat="false" ht="39.75" hidden="false" customHeight="true" outlineLevel="0" collapsed="false">
      <c r="A27" s="9" t="s">
        <v>31</v>
      </c>
      <c r="B27" s="9"/>
      <c r="C27" s="9"/>
      <c r="D27" s="9"/>
      <c r="E27" s="9"/>
      <c r="F27" s="9"/>
      <c r="G27" s="9"/>
      <c r="H27" s="9"/>
    </row>
    <row r="29" customFormat="false" ht="22.5" hidden="false" customHeight="true" outlineLevel="0" collapsed="false">
      <c r="A29" s="4" t="s">
        <v>32</v>
      </c>
      <c r="B29" s="4"/>
      <c r="C29" s="4"/>
      <c r="D29" s="4"/>
      <c r="E29" s="4"/>
      <c r="F29" s="4"/>
      <c r="G29" s="4"/>
      <c r="H29" s="4"/>
    </row>
    <row r="30" customFormat="false" ht="33.75" hidden="false" customHeight="true" outlineLevel="0" collapsed="false">
      <c r="A30" s="9" t="s">
        <v>33</v>
      </c>
      <c r="B30" s="9"/>
      <c r="C30" s="9"/>
      <c r="D30" s="9"/>
      <c r="E30" s="9"/>
      <c r="F30" s="9"/>
      <c r="G30" s="9"/>
      <c r="H30" s="9"/>
    </row>
    <row r="31" customFormat="false" ht="33.75" hidden="false" customHeight="true" outlineLevel="0" collapsed="false">
      <c r="A31" s="9"/>
      <c r="B31" s="9"/>
      <c r="C31" s="9"/>
      <c r="D31" s="9"/>
      <c r="E31" s="9"/>
      <c r="F31" s="9"/>
      <c r="G31" s="9"/>
      <c r="H31" s="9"/>
    </row>
  </sheetData>
  <mergeCells count="24">
    <mergeCell ref="A1:H1"/>
    <mergeCell ref="A2:H2"/>
    <mergeCell ref="A4:H4"/>
    <mergeCell ref="A8:H8"/>
    <mergeCell ref="A9:H10"/>
    <mergeCell ref="A12:H12"/>
    <mergeCell ref="D13:H13"/>
    <mergeCell ref="D14:H14"/>
    <mergeCell ref="D15:H15"/>
    <mergeCell ref="D16:H16"/>
    <mergeCell ref="D17:H17"/>
    <mergeCell ref="D18:H18"/>
    <mergeCell ref="D19:H19"/>
    <mergeCell ref="A21:H21"/>
    <mergeCell ref="A22:B22"/>
    <mergeCell ref="C22:D22"/>
    <mergeCell ref="E22:F22"/>
    <mergeCell ref="G22:H22"/>
    <mergeCell ref="A23:B23"/>
    <mergeCell ref="C23:H23"/>
    <mergeCell ref="A26:H26"/>
    <mergeCell ref="A27:H27"/>
    <mergeCell ref="A29:H29"/>
    <mergeCell ref="A30:H31"/>
  </mergeCells>
  <printOptions headings="false" gridLines="false" gridLinesSet="true" horizontalCentered="fals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E7490"/>
    <pageSetUpPr fitToPage="true"/>
  </sheetPr>
  <dimension ref="A1:H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10.76953125" defaultRowHeight="15" zeroHeight="false" outlineLevelRow="0" outlineLevelCol="0"/>
  <cols>
    <col min="1" max="1" width="24" customWidth="1"/>
    <col min="2" max="2" width="17" customWidth="1"/>
    <col min="3" max="3" width="15" customWidth="1"/>
    <col min="4" max="4" width="46" customWidth="1"/>
    <col min="5" max="5" width="13" customWidth="1"/>
    <col min="6" max="6" width="20" customWidth="1"/>
    <col min="7" max="7" width="15" customWidth="1"/>
    <col min="8" max="8" width="46" customWidth="1"/>
  </cols>
  <sheetData>
    <row r="1" customFormat="false" ht="33.75" hidden="false" customHeight="true" outlineLevel="0" collapsed="false">
      <c r="A1" s="1" t="s">
        <v>34</v>
      </c>
      <c r="B1" s="1"/>
      <c r="C1" s="1"/>
      <c r="D1" s="1"/>
      <c r="E1" s="1"/>
      <c r="F1" s="1"/>
      <c r="G1" s="1"/>
      <c r="H1" s="1"/>
    </row>
    <row r="2" customFormat="false" ht="30" hidden="false" customHeight="true" outlineLevel="0" collapsed="false">
      <c r="A2" s="2" t="s">
        <v>35</v>
      </c>
      <c r="B2" s="2"/>
      <c r="C2" s="2"/>
      <c r="D2" s="2"/>
      <c r="E2" s="2"/>
      <c r="F2" s="2"/>
      <c r="G2" s="2"/>
      <c r="H2" s="2"/>
    </row>
    <row r="4" customFormat="false" ht="36" hidden="false" customHeight="true" outlineLevel="0" collapsed="false">
      <c r="A4" s="22" t="s">
        <v>36</v>
      </c>
      <c r="B4" s="22" t="s">
        <v>37</v>
      </c>
      <c r="C4" s="22" t="s">
        <v>38</v>
      </c>
      <c r="D4" s="22" t="s">
        <v>39</v>
      </c>
      <c r="E4" s="22" t="s">
        <v>40</v>
      </c>
      <c r="F4" s="22" t="s">
        <v>41</v>
      </c>
      <c r="G4" s="22" t="s">
        <v>42</v>
      </c>
      <c r="H4" s="22" t="s">
        <v>43</v>
      </c>
    </row>
    <row r="5" customFormat="false" ht="22.5" hidden="false" customHeight="true" outlineLevel="0" collapsed="false">
      <c r="A5" s="4" t="s">
        <v>44</v>
      </c>
      <c r="B5" s="4"/>
      <c r="C5" s="4"/>
      <c r="D5" s="4"/>
      <c r="E5" s="4"/>
      <c r="F5" s="4"/>
      <c r="G5" s="4"/>
      <c r="H5" s="4"/>
    </row>
    <row r="6" customFormat="false" ht="45" hidden="false" customHeight="true" outlineLevel="0" collapsed="false">
      <c r="A6" s="23" t="s">
        <v>45</v>
      </c>
      <c r="B6" s="24" t="s">
        <v>46</v>
      </c>
      <c r="C6" s="24" t="s">
        <v>47</v>
      </c>
      <c r="D6" s="25" t="s">
        <v>48</v>
      </c>
      <c r="E6" s="24" t="s">
        <v>49</v>
      </c>
      <c r="F6" s="24" t="s">
        <v>50</v>
      </c>
      <c r="G6" s="26" t="n">
        <v>168</v>
      </c>
      <c r="H6" s="25"/>
    </row>
    <row r="7" customFormat="false" ht="30" hidden="false" customHeight="true" outlineLevel="0" collapsed="false">
      <c r="A7" s="23" t="s">
        <v>51</v>
      </c>
      <c r="B7" s="24" t="s">
        <v>46</v>
      </c>
      <c r="C7" s="24" t="s">
        <v>47</v>
      </c>
      <c r="D7" s="25" t="s">
        <v>52</v>
      </c>
      <c r="E7" s="24" t="s">
        <v>49</v>
      </c>
      <c r="F7" s="24" t="s">
        <v>53</v>
      </c>
      <c r="G7" s="26" t="n">
        <v>303</v>
      </c>
      <c r="H7" s="25"/>
    </row>
    <row r="8" customFormat="false" ht="30" hidden="false" customHeight="true" outlineLevel="0" collapsed="false">
      <c r="A8" s="23" t="s">
        <v>54</v>
      </c>
      <c r="B8" s="24" t="s">
        <v>46</v>
      </c>
      <c r="C8" s="24" t="s">
        <v>47</v>
      </c>
      <c r="D8" s="25" t="s">
        <v>55</v>
      </c>
      <c r="E8" s="24" t="s">
        <v>49</v>
      </c>
      <c r="F8" s="24" t="s">
        <v>56</v>
      </c>
      <c r="G8" s="26" t="n">
        <v>309</v>
      </c>
      <c r="H8" s="25"/>
    </row>
    <row r="9" customFormat="false" ht="30" hidden="false" customHeight="true" outlineLevel="0" collapsed="false">
      <c r="A9" s="23" t="s">
        <v>57</v>
      </c>
      <c r="B9" s="24" t="s">
        <v>46</v>
      </c>
      <c r="C9" s="24" t="s">
        <v>47</v>
      </c>
      <c r="D9" s="25" t="s">
        <v>58</v>
      </c>
      <c r="E9" s="24" t="s">
        <v>49</v>
      </c>
      <c r="F9" s="24" t="s">
        <v>59</v>
      </c>
      <c r="G9" s="26" t="n">
        <v>480</v>
      </c>
      <c r="H9" s="25" t="s">
        <v>60</v>
      </c>
    </row>
    <row r="10" customFormat="false" ht="37.5" hidden="false" customHeight="true" outlineLevel="0" collapsed="false">
      <c r="A10" s="23" t="s">
        <v>61</v>
      </c>
      <c r="B10" s="24" t="s">
        <v>46</v>
      </c>
      <c r="C10" s="24" t="s">
        <v>62</v>
      </c>
      <c r="D10" s="25" t="s">
        <v>63</v>
      </c>
      <c r="E10" s="24" t="s">
        <v>49</v>
      </c>
      <c r="F10" s="24" t="s">
        <v>64</v>
      </c>
      <c r="G10" s="26" t="n">
        <v>51</v>
      </c>
      <c r="H10" s="25" t="s">
        <v>65</v>
      </c>
    </row>
    <row r="11" customFormat="false" ht="45" hidden="false" customHeight="true" outlineLevel="0" collapsed="false">
      <c r="A11" s="23" t="s">
        <v>66</v>
      </c>
      <c r="B11" s="24" t="s">
        <v>46</v>
      </c>
      <c r="C11" s="24" t="s">
        <v>47</v>
      </c>
      <c r="D11" s="25" t="s">
        <v>67</v>
      </c>
      <c r="E11" s="24" t="s">
        <v>49</v>
      </c>
      <c r="F11" s="24" t="s">
        <v>68</v>
      </c>
      <c r="G11" s="26" t="n">
        <v>113</v>
      </c>
      <c r="H11" s="25" t="s">
        <v>69</v>
      </c>
    </row>
    <row r="12" customFormat="false" ht="22.5" hidden="false" customHeight="true" outlineLevel="0" collapsed="false">
      <c r="A12" s="4" t="s">
        <v>70</v>
      </c>
      <c r="B12" s="4"/>
      <c r="C12" s="4"/>
      <c r="D12" s="4"/>
      <c r="E12" s="4"/>
      <c r="F12" s="4"/>
      <c r="G12" s="4"/>
      <c r="H12" s="4"/>
    </row>
    <row r="13" customFormat="false" ht="30" hidden="false" customHeight="true" outlineLevel="0" collapsed="false">
      <c r="A13" s="23" t="s">
        <v>71</v>
      </c>
      <c r="B13" s="24" t="s">
        <v>72</v>
      </c>
      <c r="C13" s="24" t="s">
        <v>73</v>
      </c>
      <c r="D13" s="25" t="s">
        <v>74</v>
      </c>
      <c r="E13" s="24" t="s">
        <v>49</v>
      </c>
      <c r="F13" s="24" t="s">
        <v>75</v>
      </c>
      <c r="G13" s="26"/>
      <c r="H13" s="25"/>
    </row>
    <row r="14" customFormat="false" ht="30" hidden="false" customHeight="true" outlineLevel="0" collapsed="false">
      <c r="A14" s="23" t="s">
        <v>76</v>
      </c>
      <c r="B14" s="24" t="s">
        <v>72</v>
      </c>
      <c r="C14" s="24" t="s">
        <v>47</v>
      </c>
      <c r="D14" s="25" t="s">
        <v>77</v>
      </c>
      <c r="E14" s="24" t="s">
        <v>49</v>
      </c>
      <c r="F14" s="24" t="s">
        <v>78</v>
      </c>
      <c r="G14" s="26"/>
      <c r="H14" s="25"/>
    </row>
    <row r="15" customFormat="false" ht="30" hidden="false" customHeight="true" outlineLevel="0" collapsed="false">
      <c r="A15" s="23" t="s">
        <v>79</v>
      </c>
      <c r="B15" s="24" t="s">
        <v>72</v>
      </c>
      <c r="C15" s="24" t="s">
        <v>73</v>
      </c>
      <c r="D15" s="25" t="s">
        <v>80</v>
      </c>
      <c r="E15" s="24" t="s">
        <v>49</v>
      </c>
      <c r="F15" s="24" t="s">
        <v>81</v>
      </c>
      <c r="G15" s="26"/>
      <c r="H15" s="25"/>
    </row>
    <row r="16" customFormat="false" ht="30" hidden="false" customHeight="true" outlineLevel="0" collapsed="false">
      <c r="A16" s="23" t="s">
        <v>82</v>
      </c>
      <c r="B16" s="24" t="s">
        <v>72</v>
      </c>
      <c r="C16" s="24" t="s">
        <v>47</v>
      </c>
      <c r="D16" s="25" t="s">
        <v>83</v>
      </c>
      <c r="E16" s="24" t="s">
        <v>49</v>
      </c>
      <c r="F16" s="24" t="s">
        <v>84</v>
      </c>
      <c r="G16" s="26"/>
      <c r="H16" s="25"/>
    </row>
    <row r="17" customFormat="false" ht="22.5" hidden="false" customHeight="true" outlineLevel="0" collapsed="false">
      <c r="A17" s="4" t="s">
        <v>85</v>
      </c>
      <c r="B17" s="4"/>
      <c r="C17" s="4"/>
      <c r="D17" s="4"/>
      <c r="E17" s="4"/>
      <c r="F17" s="4"/>
      <c r="G17" s="4"/>
      <c r="H17" s="4"/>
    </row>
    <row r="18" customFormat="false" ht="30" hidden="false" customHeight="true" outlineLevel="0" collapsed="false">
      <c r="A18" s="23" t="s">
        <v>86</v>
      </c>
      <c r="B18" s="24" t="s">
        <v>87</v>
      </c>
      <c r="C18" s="24" t="s">
        <v>47</v>
      </c>
      <c r="D18" s="25" t="s">
        <v>88</v>
      </c>
      <c r="E18" s="24" t="s">
        <v>49</v>
      </c>
      <c r="F18" s="24" t="s">
        <v>86</v>
      </c>
      <c r="G18" s="26"/>
      <c r="H18" s="25"/>
    </row>
    <row r="19" customFormat="false" ht="30" hidden="false" customHeight="true" outlineLevel="0" collapsed="false">
      <c r="A19" s="23" t="s">
        <v>89</v>
      </c>
      <c r="B19" s="24" t="s">
        <v>87</v>
      </c>
      <c r="C19" s="24" t="s">
        <v>47</v>
      </c>
      <c r="D19" s="25" t="s">
        <v>90</v>
      </c>
      <c r="E19" s="24" t="s">
        <v>49</v>
      </c>
      <c r="F19" s="24" t="s">
        <v>89</v>
      </c>
      <c r="G19" s="26"/>
      <c r="H19" s="25"/>
    </row>
    <row r="20" customFormat="false" ht="30" hidden="false" customHeight="true" outlineLevel="0" collapsed="false">
      <c r="A20" s="23" t="s">
        <v>91</v>
      </c>
      <c r="B20" s="24" t="s">
        <v>87</v>
      </c>
      <c r="C20" s="24" t="s">
        <v>47</v>
      </c>
      <c r="D20" s="25" t="s">
        <v>92</v>
      </c>
      <c r="E20" s="24" t="s">
        <v>49</v>
      </c>
      <c r="F20" s="24" t="s">
        <v>91</v>
      </c>
      <c r="G20" s="26"/>
      <c r="H20" s="25"/>
    </row>
    <row r="21" customFormat="false" ht="30" hidden="false" customHeight="true" outlineLevel="0" collapsed="false">
      <c r="A21" s="23" t="s">
        <v>93</v>
      </c>
      <c r="B21" s="24" t="s">
        <v>87</v>
      </c>
      <c r="C21" s="24" t="s">
        <v>47</v>
      </c>
      <c r="D21" s="25" t="s">
        <v>94</v>
      </c>
      <c r="E21" s="24" t="s">
        <v>49</v>
      </c>
      <c r="F21" s="24" t="s">
        <v>93</v>
      </c>
      <c r="G21" s="26"/>
      <c r="H21" s="25"/>
    </row>
    <row r="22" customFormat="false" ht="30" hidden="false" customHeight="true" outlineLevel="0" collapsed="false">
      <c r="A22" s="23" t="s">
        <v>95</v>
      </c>
      <c r="B22" s="24" t="s">
        <v>87</v>
      </c>
      <c r="C22" s="24" t="s">
        <v>47</v>
      </c>
      <c r="D22" s="25" t="s">
        <v>96</v>
      </c>
      <c r="E22" s="24" t="s">
        <v>49</v>
      </c>
      <c r="F22" s="24" t="s">
        <v>97</v>
      </c>
      <c r="G22" s="26"/>
      <c r="H22" s="25"/>
    </row>
    <row r="23" customFormat="false" ht="30" hidden="false" customHeight="true" outlineLevel="0" collapsed="false">
      <c r="A23" s="23" t="s">
        <v>98</v>
      </c>
      <c r="B23" s="24" t="s">
        <v>87</v>
      </c>
      <c r="C23" s="24" t="s">
        <v>47</v>
      </c>
      <c r="D23" s="25" t="s">
        <v>99</v>
      </c>
      <c r="E23" s="24" t="s">
        <v>49</v>
      </c>
      <c r="F23" s="24" t="s">
        <v>100</v>
      </c>
      <c r="G23" s="26"/>
      <c r="H23" s="25"/>
    </row>
    <row r="24" customFormat="false" ht="30" hidden="false" customHeight="true" outlineLevel="0" collapsed="false">
      <c r="A24" s="23" t="s">
        <v>101</v>
      </c>
      <c r="B24" s="24" t="s">
        <v>87</v>
      </c>
      <c r="C24" s="24" t="s">
        <v>73</v>
      </c>
      <c r="D24" s="25" t="s">
        <v>102</v>
      </c>
      <c r="E24" s="24" t="s">
        <v>49</v>
      </c>
      <c r="F24" s="24" t="s">
        <v>103</v>
      </c>
      <c r="G24" s="26"/>
      <c r="H24" s="25" t="s">
        <v>104</v>
      </c>
    </row>
    <row r="26" customFormat="false" ht="22.5" hidden="false" customHeight="true" outlineLevel="0" collapsed="false">
      <c r="A26" s="4" t="s">
        <v>105</v>
      </c>
      <c r="B26" s="4"/>
      <c r="C26" s="4"/>
      <c r="D26" s="4"/>
      <c r="E26" s="4"/>
      <c r="F26" s="4"/>
      <c r="G26" s="4"/>
      <c r="H26" s="4"/>
    </row>
    <row r="27" customFormat="false" ht="27.75" hidden="false" customHeight="true" outlineLevel="0" collapsed="false">
      <c r="A27" s="27" t="s">
        <v>106</v>
      </c>
      <c r="B27" s="27"/>
      <c r="C27" s="28" t="n">
        <f aca="false">COUNTIF($B$6:$B$24,"Spine Surgeon")</f>
        <v>6</v>
      </c>
      <c r="D27" s="29" t="s">
        <v>107</v>
      </c>
      <c r="E27" s="29"/>
      <c r="F27" s="29"/>
      <c r="G27" s="29"/>
      <c r="H27" s="29"/>
    </row>
    <row r="28" customFormat="false" ht="27.75" hidden="false" customHeight="true" outlineLevel="0" collapsed="false">
      <c r="A28" s="27" t="s">
        <v>108</v>
      </c>
      <c r="B28" s="27"/>
      <c r="C28" s="28" t="n">
        <f aca="false">COUNTIF($B$6:$B$24,"Spine Pain")</f>
        <v>4</v>
      </c>
      <c r="D28" s="29"/>
      <c r="E28" s="29"/>
      <c r="F28" s="29"/>
      <c r="G28" s="29"/>
      <c r="H28" s="29"/>
    </row>
    <row r="29" customFormat="false" ht="27.75" hidden="false" customHeight="true" outlineLevel="0" collapsed="false">
      <c r="A29" s="27" t="s">
        <v>109</v>
      </c>
      <c r="B29" s="27"/>
      <c r="C29" s="28" t="n">
        <f aca="false">C27+C28</f>
        <v>10</v>
      </c>
      <c r="D29" s="29" t="s">
        <v>110</v>
      </c>
      <c r="E29" s="29"/>
      <c r="F29" s="29"/>
      <c r="G29" s="29"/>
      <c r="H29" s="29"/>
    </row>
    <row r="30" customFormat="false" ht="27.75" hidden="false" customHeight="true" outlineLevel="0" collapsed="false">
      <c r="A30" s="27" t="s">
        <v>111</v>
      </c>
      <c r="B30" s="27"/>
      <c r="C30" s="28" t="n">
        <f aca="false">COUNTIF($B$6:$B$24,"Ortho Surgeon")</f>
        <v>7</v>
      </c>
      <c r="D30" s="29" t="s">
        <v>112</v>
      </c>
      <c r="E30" s="29"/>
      <c r="F30" s="29"/>
      <c r="G30" s="29"/>
      <c r="H30" s="29"/>
    </row>
    <row r="31" customFormat="false" ht="27.75" hidden="false" customHeight="true" outlineLevel="0" collapsed="false">
      <c r="A31" s="27" t="s">
        <v>113</v>
      </c>
      <c r="B31" s="27"/>
      <c r="C31" s="28" t="n">
        <f aca="false">SUM($G$6:$G$11)</f>
        <v>1424</v>
      </c>
      <c r="D31" s="29" t="s">
        <v>114</v>
      </c>
      <c r="E31" s="29"/>
      <c r="F31" s="29"/>
      <c r="G31" s="29"/>
      <c r="H31" s="29"/>
    </row>
    <row r="33" customFormat="false" ht="22.5" hidden="false" customHeight="true" outlineLevel="0" collapsed="false">
      <c r="A33" s="4" t="s">
        <v>115</v>
      </c>
      <c r="B33" s="4"/>
      <c r="C33" s="4"/>
      <c r="D33" s="4"/>
      <c r="E33" s="4"/>
      <c r="F33" s="4"/>
      <c r="G33" s="4"/>
      <c r="H33" s="4"/>
    </row>
    <row r="34" customFormat="false" ht="31.5" hidden="false" customHeight="true" outlineLevel="0" collapsed="false">
      <c r="A34" s="30" t="s">
        <v>116</v>
      </c>
      <c r="B34" s="30"/>
      <c r="C34" s="30"/>
      <c r="D34" s="30"/>
      <c r="E34" s="30"/>
      <c r="F34" s="30"/>
      <c r="G34" s="30"/>
      <c r="H34" s="30"/>
    </row>
    <row r="35" customFormat="false" ht="31.5" hidden="false" customHeight="true" outlineLevel="0" collapsed="false">
      <c r="A35" s="30" t="s">
        <v>117</v>
      </c>
      <c r="B35" s="30"/>
      <c r="C35" s="30"/>
      <c r="D35" s="30"/>
      <c r="E35" s="30"/>
      <c r="F35" s="30"/>
      <c r="G35" s="30"/>
      <c r="H35" s="30"/>
    </row>
    <row r="36" customFormat="false" ht="31.5" hidden="false" customHeight="true" outlineLevel="0" collapsed="false">
      <c r="A36" s="30" t="s">
        <v>118</v>
      </c>
      <c r="B36" s="30"/>
      <c r="C36" s="30"/>
      <c r="D36" s="30"/>
      <c r="E36" s="30"/>
      <c r="F36" s="30"/>
      <c r="G36" s="30"/>
      <c r="H36" s="30"/>
    </row>
    <row r="38" customFormat="false" ht="22.5" hidden="false" customHeight="true" outlineLevel="0" collapsed="false">
      <c r="A38" s="4" t="s">
        <v>119</v>
      </c>
      <c r="B38" s="4"/>
      <c r="C38" s="4"/>
      <c r="D38" s="4"/>
      <c r="E38" s="4"/>
      <c r="F38" s="4"/>
      <c r="G38" s="4"/>
      <c r="H38" s="4"/>
    </row>
    <row r="39" customFormat="false" ht="30" hidden="false" customHeight="true" outlineLevel="0" collapsed="false">
      <c r="A39" s="2" t="s">
        <v>120</v>
      </c>
      <c r="B39" s="2"/>
      <c r="C39" s="2"/>
      <c r="D39" s="2"/>
      <c r="E39" s="2"/>
      <c r="F39" s="2"/>
      <c r="G39" s="2"/>
      <c r="H39" s="2"/>
    </row>
    <row r="40" customFormat="false" ht="30" hidden="false" customHeight="true" outlineLevel="0" collapsed="false">
      <c r="A40" s="2"/>
      <c r="B40" s="2"/>
      <c r="C40" s="2"/>
      <c r="D40" s="2"/>
      <c r="E40" s="2"/>
      <c r="F40" s="2"/>
      <c r="G40" s="2"/>
      <c r="H40" s="2"/>
    </row>
  </sheetData>
  <mergeCells count="22">
    <mergeCell ref="A1:H1"/>
    <mergeCell ref="A2:H2"/>
    <mergeCell ref="A5:H5"/>
    <mergeCell ref="A12:H12"/>
    <mergeCell ref="A17:H17"/>
    <mergeCell ref="A26:H26"/>
    <mergeCell ref="A27:B27"/>
    <mergeCell ref="D27:H27"/>
    <mergeCell ref="A28:B28"/>
    <mergeCell ref="D28:H28"/>
    <mergeCell ref="A29:B29"/>
    <mergeCell ref="D29:H29"/>
    <mergeCell ref="A30:B30"/>
    <mergeCell ref="D30:H30"/>
    <mergeCell ref="A31:B31"/>
    <mergeCell ref="D31:H31"/>
    <mergeCell ref="A33:H33"/>
    <mergeCell ref="A34:H34"/>
    <mergeCell ref="A35:H35"/>
    <mergeCell ref="A36:H36"/>
    <mergeCell ref="A38:H38"/>
    <mergeCell ref="A39:H40"/>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7706"/>
    <pageSetUpPr fitToPage="true"/>
  </sheetPr>
  <dimension ref="A1:W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10.76953125" defaultRowHeight="15" zeroHeight="false" outlineLevelRow="0" outlineLevelCol="0"/>
  <cols>
    <col min="1" max="1" width="8" customWidth="1"/>
    <col min="2" max="2" width="14" customWidth="1"/>
    <col min="3" max="3" width="13" customWidth="1"/>
    <col min="4" max="4" width="11" customWidth="1"/>
    <col min="5" max="5" width="11" customWidth="1"/>
    <col min="6" max="6" width="12" customWidth="1"/>
    <col min="7" max="7" width="12" customWidth="1"/>
    <col min="8" max="8" width="14" customWidth="1"/>
    <col min="9" max="9" width="11" customWidth="1"/>
    <col min="10" max="10" width="11" customWidth="1"/>
    <col min="11" max="11" width="12" customWidth="1"/>
    <col min="12" max="12" width="12" customWidth="1"/>
    <col min="13" max="13" width="12" customWidth="1"/>
    <col min="14" max="14" width="14" customWidth="1"/>
    <col min="15" max="15" width="13" customWidth="1"/>
    <col min="16" max="16" width="13" customWidth="1"/>
    <col min="17" max="17" width="13" customWidth="1"/>
    <col min="18" max="18" width="13" customWidth="1"/>
    <col min="19" max="19" width="22" customWidth="1"/>
    <col min="20" max="20" width="22" customWidth="1"/>
    <col min="21" max="21" width="32" customWidth="1"/>
    <col min="22" max="22" width="19" customWidth="1"/>
    <col min="23" max="23" width="16" customWidth="1"/>
  </cols>
  <sheetData>
    <row r="1" customFormat="false" ht="33.75" hidden="false" customHeight="true" outlineLevel="0" collapsed="false">
      <c r="A1" s="1" t="s">
        <v>121</v>
      </c>
      <c r="B1" s="1"/>
      <c r="C1" s="1"/>
      <c r="D1" s="1"/>
      <c r="E1" s="1"/>
      <c r="F1" s="1"/>
      <c r="G1" s="1"/>
      <c r="H1" s="1"/>
      <c r="I1" s="1"/>
      <c r="J1" s="1"/>
      <c r="K1" s="1"/>
      <c r="L1" s="1"/>
      <c r="M1" s="1"/>
      <c r="N1" s="1"/>
      <c r="O1" s="1"/>
      <c r="P1" s="1"/>
      <c r="Q1" s="1"/>
      <c r="R1" s="1"/>
      <c r="S1" s="1"/>
      <c r="T1" s="1"/>
      <c r="U1" s="1"/>
      <c r="V1" s="1"/>
      <c r="W1" s="1"/>
    </row>
    <row r="2" customFormat="false" ht="15" hidden="false" customHeight="true" outlineLevel="0" collapsed="false">
      <c r="A2" s="31" t="s">
        <v>122</v>
      </c>
      <c r="B2" s="31"/>
      <c r="C2" s="31"/>
      <c r="D2" s="31"/>
      <c r="E2" s="31"/>
      <c r="F2" s="31"/>
      <c r="G2" s="31"/>
      <c r="H2" s="31"/>
      <c r="I2" s="31"/>
      <c r="J2" s="31"/>
      <c r="K2" s="31"/>
      <c r="L2" s="31"/>
      <c r="M2" s="31"/>
      <c r="N2" s="31"/>
      <c r="O2" s="31"/>
      <c r="P2" s="31"/>
      <c r="Q2" s="31"/>
      <c r="R2" s="31"/>
      <c r="S2" s="31"/>
      <c r="T2" s="31"/>
      <c r="U2" s="31"/>
      <c r="V2" s="31"/>
      <c r="W2" s="31"/>
    </row>
    <row r="3" customFormat="false" ht="15" hidden="false" customHeight="true" outlineLevel="0" collapsed="false">
      <c r="A3" s="32"/>
      <c r="B3" s="32"/>
      <c r="C3" s="32"/>
      <c r="D3" s="32"/>
      <c r="E3" s="32"/>
      <c r="F3" s="32"/>
      <c r="G3" s="32"/>
      <c r="H3" s="32"/>
      <c r="I3" s="32"/>
      <c r="J3" s="32"/>
      <c r="K3" s="32"/>
      <c r="L3" s="32"/>
      <c r="M3" s="32"/>
      <c r="N3" s="32"/>
      <c r="O3" s="32"/>
      <c r="P3" s="32"/>
      <c r="Q3" s="32"/>
      <c r="R3" s="32"/>
      <c r="S3" s="32"/>
      <c r="T3" s="32"/>
      <c r="U3" s="32"/>
      <c r="V3" s="32"/>
      <c r="W3" s="32"/>
    </row>
    <row r="4" customFormat="false" ht="22.5" hidden="false" customHeight="true" outlineLevel="0" collapsed="false">
      <c r="A4" s="4" t="s">
        <v>123</v>
      </c>
      <c r="B4" s="4"/>
      <c r="C4" s="4"/>
      <c r="D4" s="4"/>
      <c r="E4" s="4"/>
      <c r="F4" s="4"/>
      <c r="G4" s="4"/>
      <c r="H4" s="4"/>
      <c r="I4" s="4" t="s">
        <v>124</v>
      </c>
      <c r="J4" s="4"/>
      <c r="K4" s="4"/>
      <c r="L4" s="4"/>
      <c r="M4" s="4"/>
      <c r="N4" s="4"/>
      <c r="O4" s="4" t="s">
        <v>125</v>
      </c>
      <c r="P4" s="4"/>
      <c r="Q4" s="4"/>
      <c r="R4" s="4"/>
      <c r="S4" s="4" t="s">
        <v>126</v>
      </c>
      <c r="T4" s="4"/>
      <c r="U4" s="4"/>
      <c r="V4" s="4"/>
      <c r="W4" s="4"/>
    </row>
    <row r="5" customFormat="false" ht="15" hidden="false" customHeight="true" outlineLevel="0" collapsed="false">
      <c r="A5" s="32"/>
      <c r="B5" s="32"/>
      <c r="C5" s="32"/>
      <c r="D5" s="32"/>
      <c r="E5" s="32"/>
      <c r="F5" s="32"/>
      <c r="G5" s="32"/>
      <c r="H5" s="32"/>
      <c r="I5" s="32"/>
      <c r="J5" s="32"/>
      <c r="K5" s="32"/>
      <c r="L5" s="32"/>
      <c r="M5" s="32"/>
      <c r="N5" s="32"/>
      <c r="O5" s="32"/>
      <c r="P5" s="32"/>
      <c r="Q5" s="32"/>
      <c r="R5" s="32"/>
      <c r="S5" s="32"/>
      <c r="T5" s="32"/>
      <c r="U5" s="32"/>
      <c r="V5" s="32"/>
      <c r="W5" s="32"/>
    </row>
    <row r="6" customFormat="false" ht="36" hidden="false" customHeight="true" outlineLevel="0" collapsed="false">
      <c r="A6" s="33" t="s">
        <v>127</v>
      </c>
      <c r="B6" s="33" t="s">
        <v>128</v>
      </c>
      <c r="C6" s="33" t="s">
        <v>129</v>
      </c>
      <c r="D6" s="33" t="s">
        <v>130</v>
      </c>
      <c r="E6" s="33" t="s">
        <v>131</v>
      </c>
      <c r="F6" s="33" t="s">
        <v>132</v>
      </c>
      <c r="G6" s="33" t="s">
        <v>133</v>
      </c>
      <c r="H6" s="33" t="s">
        <v>134</v>
      </c>
      <c r="I6" s="33" t="s">
        <v>135</v>
      </c>
      <c r="J6" s="33" t="s">
        <v>136</v>
      </c>
      <c r="K6" s="33" t="s">
        <v>137</v>
      </c>
      <c r="L6" s="33" t="s">
        <v>138</v>
      </c>
      <c r="M6" s="33" t="s">
        <v>139</v>
      </c>
      <c r="N6" s="33" t="s">
        <v>140</v>
      </c>
      <c r="O6" s="33" t="s">
        <v>141</v>
      </c>
      <c r="P6" s="33" t="s">
        <v>142</v>
      </c>
      <c r="Q6" s="33" t="s">
        <v>143</v>
      </c>
      <c r="R6" s="33" t="s">
        <v>144</v>
      </c>
      <c r="S6" s="33" t="s">
        <v>145</v>
      </c>
      <c r="T6" s="33" t="s">
        <v>146</v>
      </c>
      <c r="U6" s="33" t="s">
        <v>147</v>
      </c>
      <c r="V6" s="33" t="s">
        <v>148</v>
      </c>
      <c r="W6" s="33" t="s">
        <v>149</v>
      </c>
    </row>
    <row r="7" customFormat="false" ht="33.75" hidden="false" customHeight="true" outlineLevel="0" collapsed="false">
      <c r="A7" s="34" t="n">
        <v>1</v>
      </c>
      <c r="B7" s="35" t="n">
        <v>46244</v>
      </c>
      <c r="C7" s="34" t="s">
        <v>150</v>
      </c>
      <c r="D7" s="36"/>
      <c r="E7" s="36"/>
      <c r="F7" s="37" t="str">
        <f aca="false">IF(COUNT(D7:E7)=0,"",D7+(E7*0.5))</f>
        <v/>
      </c>
      <c r="G7" s="37" t="n">
        <f aca="false">'Start Here'!$B$13</f>
        <v>9</v>
      </c>
      <c r="H7" s="38" t="str">
        <f aca="false">IF(F7="","Not Started",IF(F7&lt;'Start Here'!$B$14,"Below Floor",IF(F7&lt;'Start Here'!$B$13,"Exception","Meets")))</f>
        <v>Not Started</v>
      </c>
      <c r="I7" s="36"/>
      <c r="J7" s="36"/>
      <c r="K7" s="37" t="str">
        <f aca="false">IF(COUNT(I7:J7)=0,"",I7+(J7*0.5))</f>
        <v/>
      </c>
      <c r="L7" s="36"/>
      <c r="M7" s="37" t="str">
        <f aca="false">IF(K7="","",IF(L7="",'Start Here'!$B$15,IF(L7&gt;=2,'Start Here'!$B$17,IF(L7=1,'Start Here'!$B$16,'Start Here'!$B$15))))</f>
        <v/>
      </c>
      <c r="N7" s="38" t="str">
        <f aca="false">IF(K7="","Not Started",IF(L7&gt;2,"Review PTO",IF(K7&lt;M7,"Below Minimum","Meets")))</f>
        <v>Not Started</v>
      </c>
      <c r="O7" s="39"/>
      <c r="P7" s="38" t="str">
        <f aca="false">IF(O7="","",IF(O7&gt;='Start Here'!$B$18,'Start Here'!$B$18&amp;"+ Achieved","Below "&amp;'Start Here'!$B$18))</f>
        <v/>
      </c>
      <c r="Q7" s="39"/>
      <c r="R7" s="38" t="str">
        <f aca="false">IF(Q7="","",IF(Q7&gt;='Start Here'!$B$19,'Start Here'!$B$19&amp;"+ Achieved","Below "&amp;'Start Here'!$B$19))</f>
        <v/>
      </c>
      <c r="S7" s="40"/>
      <c r="T7" s="40"/>
      <c r="U7" s="40"/>
      <c r="V7" s="40"/>
      <c r="W7" s="38" t="str">
        <f aca="false">IF(OR(H7="Below Floor",N7="Below Minimum",N7="Review PTO"),"Action Required",IF(H7="Exception","Review",IF(AND(H7="Not Started",N7="Not Started"),"Not Started",IF(OR(H7="Not Started",N7="Not Started"),"In Progress","No Gap"))))</f>
        <v>Not Started</v>
      </c>
    </row>
    <row r="8" customFormat="false" ht="33.75" hidden="false" customHeight="true" outlineLevel="0" collapsed="false">
      <c r="A8" s="41" t="n">
        <v>2</v>
      </c>
      <c r="B8" s="42" t="n">
        <v>46251</v>
      </c>
      <c r="C8" s="41" t="s">
        <v>150</v>
      </c>
      <c r="D8" s="43"/>
      <c r="E8" s="43"/>
      <c r="F8" s="44" t="str">
        <f aca="false">IF(COUNT(D8:E8)=0,"",D8+(E8*0.5))</f>
        <v/>
      </c>
      <c r="G8" s="44" t="n">
        <f aca="false">'Start Here'!$B$13</f>
        <v>9</v>
      </c>
      <c r="H8" s="45" t="str">
        <f aca="false">IF(F8="","Not Started",IF(F8&lt;'Start Here'!$B$14,"Below Floor",IF(F8&lt;'Start Here'!$B$13,"Exception","Meets")))</f>
        <v>Not Started</v>
      </c>
      <c r="I8" s="43"/>
      <c r="J8" s="43"/>
      <c r="K8" s="44" t="str">
        <f aca="false">IF(COUNT(I8:J8)=0,"",I8+(J8*0.5))</f>
        <v/>
      </c>
      <c r="L8" s="43"/>
      <c r="M8" s="44" t="str">
        <f aca="false">IF(K8="","",IF(L8="",'Start Here'!$B$15,IF(L8&gt;=2,'Start Here'!$B$17,IF(L8=1,'Start Here'!$B$16,'Start Here'!$B$15))))</f>
        <v/>
      </c>
      <c r="N8" s="45" t="str">
        <f aca="false">IF(K8="","Not Started",IF(L8&gt;2,"Review PTO",IF(K8&lt;M8,"Below Minimum","Meets")))</f>
        <v>Not Started</v>
      </c>
      <c r="O8" s="46"/>
      <c r="P8" s="45" t="str">
        <f aca="false">IF(O8="","",IF(O8&gt;='Start Here'!$B$18,'Start Here'!$B$18&amp;"+ Achieved","Below "&amp;'Start Here'!$B$18))</f>
        <v/>
      </c>
      <c r="Q8" s="46"/>
      <c r="R8" s="45" t="str">
        <f aca="false">IF(Q8="","",IF(Q8&gt;='Start Here'!$B$19,'Start Here'!$B$19&amp;"+ Achieved","Below "&amp;'Start Here'!$B$19))</f>
        <v/>
      </c>
      <c r="S8" s="47"/>
      <c r="T8" s="47"/>
      <c r="U8" s="47"/>
      <c r="V8" s="47"/>
      <c r="W8" s="45" t="str">
        <f aca="false">IF(OR(H8="Below Floor",N8="Below Minimum",N8="Review PTO"),"Action Required",IF(H8="Exception","Review",IF(AND(H8="Not Started",N8="Not Started"),"Not Started",IF(OR(H8="Not Started",N8="Not Started"),"In Progress","No Gap"))))</f>
        <v>Not Started</v>
      </c>
    </row>
    <row r="9" customFormat="false" ht="33.75" hidden="false" customHeight="true" outlineLevel="0" collapsed="false">
      <c r="A9" s="41" t="n">
        <v>3</v>
      </c>
      <c r="B9" s="42" t="n">
        <v>46258</v>
      </c>
      <c r="C9" s="41" t="s">
        <v>150</v>
      </c>
      <c r="D9" s="43"/>
      <c r="E9" s="43"/>
      <c r="F9" s="44" t="str">
        <f aca="false">IF(COUNT(D9:E9)=0,"",D9+(E9*0.5))</f>
        <v/>
      </c>
      <c r="G9" s="44" t="n">
        <f aca="false">'Start Here'!$B$13</f>
        <v>9</v>
      </c>
      <c r="H9" s="45" t="str">
        <f aca="false">IF(F9="","Not Started",IF(F9&lt;'Start Here'!$B$14,"Below Floor",IF(F9&lt;'Start Here'!$B$13,"Exception","Meets")))</f>
        <v>Not Started</v>
      </c>
      <c r="I9" s="43"/>
      <c r="J9" s="43"/>
      <c r="K9" s="44" t="str">
        <f aca="false">IF(COUNT(I9:J9)=0,"",I9+(J9*0.5))</f>
        <v/>
      </c>
      <c r="L9" s="43"/>
      <c r="M9" s="44" t="str">
        <f aca="false">IF(K9="","",IF(L9="",'Start Here'!$B$15,IF(L9&gt;=2,'Start Here'!$B$17,IF(L9=1,'Start Here'!$B$16,'Start Here'!$B$15))))</f>
        <v/>
      </c>
      <c r="N9" s="45" t="str">
        <f aca="false">IF(K9="","Not Started",IF(L9&gt;2,"Review PTO",IF(K9&lt;M9,"Below Minimum","Meets")))</f>
        <v>Not Started</v>
      </c>
      <c r="O9" s="46"/>
      <c r="P9" s="45" t="str">
        <f aca="false">IF(O9="","",IF(O9&gt;='Start Here'!$B$18,'Start Here'!$B$18&amp;"+ Achieved","Below "&amp;'Start Here'!$B$18))</f>
        <v/>
      </c>
      <c r="Q9" s="46"/>
      <c r="R9" s="45" t="str">
        <f aca="false">IF(Q9="","",IF(Q9&gt;='Start Here'!$B$19,'Start Here'!$B$19&amp;"+ Achieved","Below "&amp;'Start Here'!$B$19))</f>
        <v/>
      </c>
      <c r="S9" s="47"/>
      <c r="T9" s="47"/>
      <c r="U9" s="47"/>
      <c r="V9" s="47"/>
      <c r="W9" s="45" t="str">
        <f aca="false">IF(OR(H9="Below Floor",N9="Below Minimum",N9="Review PTO"),"Action Required",IF(H9="Exception","Review",IF(AND(H9="Not Started",N9="Not Started"),"Not Started",IF(OR(H9="Not Started",N9="Not Started"),"In Progress","No Gap"))))</f>
        <v>Not Started</v>
      </c>
    </row>
    <row r="10" customFormat="false" ht="33.75" hidden="false" customHeight="true" outlineLevel="0" collapsed="false">
      <c r="A10" s="41" t="n">
        <v>4</v>
      </c>
      <c r="B10" s="42" t="n">
        <v>46265</v>
      </c>
      <c r="C10" s="41" t="s">
        <v>150</v>
      </c>
      <c r="D10" s="43"/>
      <c r="E10" s="43"/>
      <c r="F10" s="44" t="str">
        <f aca="false">IF(COUNT(D10:E10)=0,"",D10+(E10*0.5))</f>
        <v/>
      </c>
      <c r="G10" s="44" t="n">
        <f aca="false">'Start Here'!$B$13</f>
        <v>9</v>
      </c>
      <c r="H10" s="45" t="str">
        <f aca="false">IF(F10="","Not Started",IF(F10&lt;'Start Here'!$B$14,"Below Floor",IF(F10&lt;'Start Here'!$B$13,"Exception","Meets")))</f>
        <v>Not Started</v>
      </c>
      <c r="I10" s="43"/>
      <c r="J10" s="43"/>
      <c r="K10" s="44" t="str">
        <f aca="false">IF(COUNT(I10:J10)=0,"",I10+(J10*0.5))</f>
        <v/>
      </c>
      <c r="L10" s="43"/>
      <c r="M10" s="44" t="str">
        <f aca="false">IF(K10="","",IF(L10="",'Start Here'!$B$15,IF(L10&gt;=2,'Start Here'!$B$17,IF(L10=1,'Start Here'!$B$16,'Start Here'!$B$15))))</f>
        <v/>
      </c>
      <c r="N10" s="45" t="str">
        <f aca="false">IF(K10="","Not Started",IF(L10&gt;2,"Review PTO",IF(K10&lt;M10,"Below Minimum","Meets")))</f>
        <v>Not Started</v>
      </c>
      <c r="O10" s="46"/>
      <c r="P10" s="45" t="str">
        <f aca="false">IF(O10="","",IF(O10&gt;='Start Here'!$B$18,'Start Here'!$B$18&amp;"+ Achieved","Below "&amp;'Start Here'!$B$18))</f>
        <v/>
      </c>
      <c r="Q10" s="46"/>
      <c r="R10" s="45" t="str">
        <f aca="false">IF(Q10="","",IF(Q10&gt;='Start Here'!$B$19,'Start Here'!$B$19&amp;"+ Achieved","Below "&amp;'Start Here'!$B$19))</f>
        <v/>
      </c>
      <c r="S10" s="47"/>
      <c r="T10" s="47"/>
      <c r="U10" s="47"/>
      <c r="V10" s="47"/>
      <c r="W10" s="45" t="str">
        <f aca="false">IF(OR(H10="Below Floor",N10="Below Minimum",N10="Review PTO"),"Action Required",IF(H10="Exception","Review",IF(AND(H10="Not Started",N10="Not Started"),"Not Started",IF(OR(H10="Not Started",N10="Not Started"),"In Progress","No Gap"))))</f>
        <v>Not Started</v>
      </c>
    </row>
    <row r="11" customFormat="false" ht="33.75" hidden="false" customHeight="true" outlineLevel="0" collapsed="false">
      <c r="A11" s="48" t="n">
        <v>5</v>
      </c>
      <c r="B11" s="49" t="n">
        <v>46272</v>
      </c>
      <c r="C11" s="48" t="s">
        <v>151</v>
      </c>
      <c r="D11" s="43"/>
      <c r="E11" s="43"/>
      <c r="F11" s="44" t="str">
        <f aca="false">IF(COUNT(D11:E11)=0,"",D11+(E11*0.5))</f>
        <v/>
      </c>
      <c r="G11" s="44" t="n">
        <f aca="false">'Start Here'!$B$13</f>
        <v>9</v>
      </c>
      <c r="H11" s="45" t="str">
        <f aca="false">IF(F11="","Not Started",IF(F11&lt;'Start Here'!$B$14,"Below Floor",IF(F11&lt;'Start Here'!$B$13,"Exception","Meets")))</f>
        <v>Not Started</v>
      </c>
      <c r="I11" s="43"/>
      <c r="J11" s="43"/>
      <c r="K11" s="44" t="str">
        <f aca="false">IF(COUNT(I11:J11)=0,"",I11+(J11*0.5))</f>
        <v/>
      </c>
      <c r="L11" s="43"/>
      <c r="M11" s="44" t="str">
        <f aca="false">IF(K11="","",IF(L11="",'Start Here'!$B$15,IF(L11&gt;=2,'Start Here'!$B$17,IF(L11=1,'Start Here'!$B$16,'Start Here'!$B$15))))</f>
        <v/>
      </c>
      <c r="N11" s="45" t="str">
        <f aca="false">IF(K11="","Not Started",IF(L11&gt;2,"Review PTO",IF(K11&lt;M11,"Below Minimum","Meets")))</f>
        <v>Not Started</v>
      </c>
      <c r="O11" s="46"/>
      <c r="P11" s="45" t="str">
        <f aca="false">IF(O11="","",IF(O11&gt;='Start Here'!$B$18,'Start Here'!$B$18&amp;"+ Achieved","Below "&amp;'Start Here'!$B$18))</f>
        <v/>
      </c>
      <c r="Q11" s="46"/>
      <c r="R11" s="45" t="str">
        <f aca="false">IF(Q11="","",IF(Q11&gt;='Start Here'!$B$19,'Start Here'!$B$19&amp;"+ Achieved","Below "&amp;'Start Here'!$B$19))</f>
        <v/>
      </c>
      <c r="S11" s="47"/>
      <c r="T11" s="47"/>
      <c r="U11" s="47"/>
      <c r="V11" s="47"/>
      <c r="W11" s="45" t="str">
        <f aca="false">IF(OR(H11="Below Floor",N11="Below Minimum",N11="Review PTO"),"Action Required",IF(H11="Exception","Review",IF(AND(H11="Not Started",N11="Not Started"),"Not Started",IF(OR(H11="Not Started",N11="Not Started"),"In Progress","No Gap"))))</f>
        <v>Not Started</v>
      </c>
    </row>
    <row r="12" customFormat="false" ht="33.75" hidden="false" customHeight="true" outlineLevel="0" collapsed="false">
      <c r="A12" s="48" t="n">
        <v>6</v>
      </c>
      <c r="B12" s="49" t="n">
        <v>46279</v>
      </c>
      <c r="C12" s="48" t="s">
        <v>151</v>
      </c>
      <c r="D12" s="43"/>
      <c r="E12" s="43"/>
      <c r="F12" s="44" t="str">
        <f aca="false">IF(COUNT(D12:E12)=0,"",D12+(E12*0.5))</f>
        <v/>
      </c>
      <c r="G12" s="44" t="n">
        <f aca="false">'Start Here'!$B$13</f>
        <v>9</v>
      </c>
      <c r="H12" s="45" t="str">
        <f aca="false">IF(F12="","Not Started",IF(F12&lt;'Start Here'!$B$14,"Below Floor",IF(F12&lt;'Start Here'!$B$13,"Exception","Meets")))</f>
        <v>Not Started</v>
      </c>
      <c r="I12" s="43"/>
      <c r="J12" s="43"/>
      <c r="K12" s="44" t="str">
        <f aca="false">IF(COUNT(I12:J12)=0,"",I12+(J12*0.5))</f>
        <v/>
      </c>
      <c r="L12" s="43"/>
      <c r="M12" s="44" t="str">
        <f aca="false">IF(K12="","",IF(L12="",'Start Here'!$B$15,IF(L12&gt;=2,'Start Here'!$B$17,IF(L12=1,'Start Here'!$B$16,'Start Here'!$B$15))))</f>
        <v/>
      </c>
      <c r="N12" s="45" t="str">
        <f aca="false">IF(K12="","Not Started",IF(L12&gt;2,"Review PTO",IF(K12&lt;M12,"Below Minimum","Meets")))</f>
        <v>Not Started</v>
      </c>
      <c r="O12" s="46"/>
      <c r="P12" s="45" t="str">
        <f aca="false">IF(O12="","",IF(O12&gt;='Start Here'!$B$18,'Start Here'!$B$18&amp;"+ Achieved","Below "&amp;'Start Here'!$B$18))</f>
        <v/>
      </c>
      <c r="Q12" s="46"/>
      <c r="R12" s="45" t="str">
        <f aca="false">IF(Q12="","",IF(Q12&gt;='Start Here'!$B$19,'Start Here'!$B$19&amp;"+ Achieved","Below "&amp;'Start Here'!$B$19))</f>
        <v/>
      </c>
      <c r="S12" s="47"/>
      <c r="T12" s="47"/>
      <c r="U12" s="47"/>
      <c r="V12" s="47"/>
      <c r="W12" s="45" t="str">
        <f aca="false">IF(OR(H12="Below Floor",N12="Below Minimum",N12="Review PTO"),"Action Required",IF(H12="Exception","Review",IF(AND(H12="Not Started",N12="Not Started"),"Not Started",IF(OR(H12="Not Started",N12="Not Started"),"In Progress","No Gap"))))</f>
        <v>Not Started</v>
      </c>
    </row>
    <row r="13" customFormat="false" ht="33.75" hidden="false" customHeight="true" outlineLevel="0" collapsed="false">
      <c r="A13" s="48" t="n">
        <v>7</v>
      </c>
      <c r="B13" s="49" t="n">
        <v>46286</v>
      </c>
      <c r="C13" s="48" t="s">
        <v>151</v>
      </c>
      <c r="D13" s="43"/>
      <c r="E13" s="43"/>
      <c r="F13" s="44" t="str">
        <f aca="false">IF(COUNT(D13:E13)=0,"",D13+(E13*0.5))</f>
        <v/>
      </c>
      <c r="G13" s="44" t="n">
        <f aca="false">'Start Here'!$B$13</f>
        <v>9</v>
      </c>
      <c r="H13" s="45" t="str">
        <f aca="false">IF(F13="","Not Started",IF(F13&lt;'Start Here'!$B$14,"Below Floor",IF(F13&lt;'Start Here'!$B$13,"Exception","Meets")))</f>
        <v>Not Started</v>
      </c>
      <c r="I13" s="43"/>
      <c r="J13" s="43"/>
      <c r="K13" s="44" t="str">
        <f aca="false">IF(COUNT(I13:J13)=0,"",I13+(J13*0.5))</f>
        <v/>
      </c>
      <c r="L13" s="43"/>
      <c r="M13" s="44" t="str">
        <f aca="false">IF(K13="","",IF(L13="",'Start Here'!$B$15,IF(L13&gt;=2,'Start Here'!$B$17,IF(L13=1,'Start Here'!$B$16,'Start Here'!$B$15))))</f>
        <v/>
      </c>
      <c r="N13" s="45" t="str">
        <f aca="false">IF(K13="","Not Started",IF(L13&gt;2,"Review PTO",IF(K13&lt;M13,"Below Minimum","Meets")))</f>
        <v>Not Started</v>
      </c>
      <c r="O13" s="46"/>
      <c r="P13" s="45" t="str">
        <f aca="false">IF(O13="","",IF(O13&gt;='Start Here'!$B$18,'Start Here'!$B$18&amp;"+ Achieved","Below "&amp;'Start Here'!$B$18))</f>
        <v/>
      </c>
      <c r="Q13" s="46"/>
      <c r="R13" s="45" t="str">
        <f aca="false">IF(Q13="","",IF(Q13&gt;='Start Here'!$B$19,'Start Here'!$B$19&amp;"+ Achieved","Below "&amp;'Start Here'!$B$19))</f>
        <v/>
      </c>
      <c r="S13" s="47"/>
      <c r="T13" s="47"/>
      <c r="U13" s="47"/>
      <c r="V13" s="47"/>
      <c r="W13" s="45" t="str">
        <f aca="false">IF(OR(H13="Below Floor",N13="Below Minimum",N13="Review PTO"),"Action Required",IF(H13="Exception","Review",IF(AND(H13="Not Started",N13="Not Started"),"Not Started",IF(OR(H13="Not Started",N13="Not Started"),"In Progress","No Gap"))))</f>
        <v>Not Started</v>
      </c>
    </row>
    <row r="14" customFormat="false" ht="33.75" hidden="false" customHeight="true" outlineLevel="0" collapsed="false">
      <c r="A14" s="48" t="n">
        <v>8</v>
      </c>
      <c r="B14" s="49" t="n">
        <v>46293</v>
      </c>
      <c r="C14" s="48" t="s">
        <v>151</v>
      </c>
      <c r="D14" s="43"/>
      <c r="E14" s="43"/>
      <c r="F14" s="44" t="str">
        <f aca="false">IF(COUNT(D14:E14)=0,"",D14+(E14*0.5))</f>
        <v/>
      </c>
      <c r="G14" s="44" t="n">
        <f aca="false">'Start Here'!$B$13</f>
        <v>9</v>
      </c>
      <c r="H14" s="45" t="str">
        <f aca="false">IF(F14="","Not Started",IF(F14&lt;'Start Here'!$B$14,"Below Floor",IF(F14&lt;'Start Here'!$B$13,"Exception","Meets")))</f>
        <v>Not Started</v>
      </c>
      <c r="I14" s="43"/>
      <c r="J14" s="43"/>
      <c r="K14" s="44" t="str">
        <f aca="false">IF(COUNT(I14:J14)=0,"",I14+(J14*0.5))</f>
        <v/>
      </c>
      <c r="L14" s="43"/>
      <c r="M14" s="44" t="str">
        <f aca="false">IF(K14="","",IF(L14="",'Start Here'!$B$15,IF(L14&gt;=2,'Start Here'!$B$17,IF(L14=1,'Start Here'!$B$16,'Start Here'!$B$15))))</f>
        <v/>
      </c>
      <c r="N14" s="45" t="str">
        <f aca="false">IF(K14="","Not Started",IF(L14&gt;2,"Review PTO",IF(K14&lt;M14,"Below Minimum","Meets")))</f>
        <v>Not Started</v>
      </c>
      <c r="O14" s="46"/>
      <c r="P14" s="45" t="str">
        <f aca="false">IF(O14="","",IF(O14&gt;='Start Here'!$B$18,'Start Here'!$B$18&amp;"+ Achieved","Below "&amp;'Start Here'!$B$18))</f>
        <v/>
      </c>
      <c r="Q14" s="46"/>
      <c r="R14" s="45" t="str">
        <f aca="false">IF(Q14="","",IF(Q14&gt;='Start Here'!$B$19,'Start Here'!$B$19&amp;"+ Achieved","Below "&amp;'Start Here'!$B$19))</f>
        <v/>
      </c>
      <c r="S14" s="47"/>
      <c r="T14" s="47"/>
      <c r="U14" s="47"/>
      <c r="V14" s="47"/>
      <c r="W14" s="45" t="str">
        <f aca="false">IF(OR(H14="Below Floor",N14="Below Minimum",N14="Review PTO"),"Action Required",IF(H14="Exception","Review",IF(AND(H14="Not Started",N14="Not Started"),"Not Started",IF(OR(H14="Not Started",N14="Not Started"),"In Progress","No Gap"))))</f>
        <v>Not Started</v>
      </c>
    </row>
    <row r="15" customFormat="false" ht="33.75" hidden="false" customHeight="true" outlineLevel="0" collapsed="false">
      <c r="A15" s="48" t="n">
        <v>9</v>
      </c>
      <c r="B15" s="49" t="n">
        <v>46300</v>
      </c>
      <c r="C15" s="48" t="s">
        <v>151</v>
      </c>
      <c r="D15" s="43"/>
      <c r="E15" s="43"/>
      <c r="F15" s="44" t="str">
        <f aca="false">IF(COUNT(D15:E15)=0,"",D15+(E15*0.5))</f>
        <v/>
      </c>
      <c r="G15" s="44" t="n">
        <f aca="false">'Start Here'!$B$13</f>
        <v>9</v>
      </c>
      <c r="H15" s="45" t="str">
        <f aca="false">IF(F15="","Not Started",IF(F15&lt;'Start Here'!$B$14,"Below Floor",IF(F15&lt;'Start Here'!$B$13,"Exception","Meets")))</f>
        <v>Not Started</v>
      </c>
      <c r="I15" s="43"/>
      <c r="J15" s="43"/>
      <c r="K15" s="44" t="str">
        <f aca="false">IF(COUNT(I15:J15)=0,"",I15+(J15*0.5))</f>
        <v/>
      </c>
      <c r="L15" s="43"/>
      <c r="M15" s="44" t="str">
        <f aca="false">IF(K15="","",IF(L15="",'Start Here'!$B$15,IF(L15&gt;=2,'Start Here'!$B$17,IF(L15=1,'Start Here'!$B$16,'Start Here'!$B$15))))</f>
        <v/>
      </c>
      <c r="N15" s="45" t="str">
        <f aca="false">IF(K15="","Not Started",IF(L15&gt;2,"Review PTO",IF(K15&lt;M15,"Below Minimum","Meets")))</f>
        <v>Not Started</v>
      </c>
      <c r="O15" s="46"/>
      <c r="P15" s="45" t="str">
        <f aca="false">IF(O15="","",IF(O15&gt;='Start Here'!$B$18,'Start Here'!$B$18&amp;"+ Achieved","Below "&amp;'Start Here'!$B$18))</f>
        <v/>
      </c>
      <c r="Q15" s="46"/>
      <c r="R15" s="45" t="str">
        <f aca="false">IF(Q15="","",IF(Q15&gt;='Start Here'!$B$19,'Start Here'!$B$19&amp;"+ Achieved","Below "&amp;'Start Here'!$B$19))</f>
        <v/>
      </c>
      <c r="S15" s="47"/>
      <c r="T15" s="47"/>
      <c r="U15" s="47"/>
      <c r="V15" s="47"/>
      <c r="W15" s="45" t="str">
        <f aca="false">IF(OR(H15="Below Floor",N15="Below Minimum",N15="Review PTO"),"Action Required",IF(H15="Exception","Review",IF(AND(H15="Not Started",N15="Not Started"),"Not Started",IF(OR(H15="Not Started",N15="Not Started"),"In Progress","No Gap"))))</f>
        <v>Not Started</v>
      </c>
    </row>
    <row r="16" customFormat="false" ht="33.75" hidden="false" customHeight="true" outlineLevel="0" collapsed="false">
      <c r="A16" s="48" t="n">
        <v>10</v>
      </c>
      <c r="B16" s="49" t="n">
        <v>46307</v>
      </c>
      <c r="C16" s="48" t="s">
        <v>151</v>
      </c>
      <c r="D16" s="43"/>
      <c r="E16" s="43"/>
      <c r="F16" s="44" t="str">
        <f aca="false">IF(COUNT(D16:E16)=0,"",D16+(E16*0.5))</f>
        <v/>
      </c>
      <c r="G16" s="44" t="n">
        <f aca="false">'Start Here'!$B$13</f>
        <v>9</v>
      </c>
      <c r="H16" s="45" t="str">
        <f aca="false">IF(F16="","Not Started",IF(F16&lt;'Start Here'!$B$14,"Below Floor",IF(F16&lt;'Start Here'!$B$13,"Exception","Meets")))</f>
        <v>Not Started</v>
      </c>
      <c r="I16" s="43"/>
      <c r="J16" s="43"/>
      <c r="K16" s="44" t="str">
        <f aca="false">IF(COUNT(I16:J16)=0,"",I16+(J16*0.5))</f>
        <v/>
      </c>
      <c r="L16" s="43"/>
      <c r="M16" s="44" t="str">
        <f aca="false">IF(K16="","",IF(L16="",'Start Here'!$B$15,IF(L16&gt;=2,'Start Here'!$B$17,IF(L16=1,'Start Here'!$B$16,'Start Here'!$B$15))))</f>
        <v/>
      </c>
      <c r="N16" s="45" t="str">
        <f aca="false">IF(K16="","Not Started",IF(L16&gt;2,"Review PTO",IF(K16&lt;M16,"Below Minimum","Meets")))</f>
        <v>Not Started</v>
      </c>
      <c r="O16" s="46"/>
      <c r="P16" s="45" t="str">
        <f aca="false">IF(O16="","",IF(O16&gt;='Start Here'!$B$18,'Start Here'!$B$18&amp;"+ Achieved","Below "&amp;'Start Here'!$B$18))</f>
        <v/>
      </c>
      <c r="Q16" s="46"/>
      <c r="R16" s="45" t="str">
        <f aca="false">IF(Q16="","",IF(Q16&gt;='Start Here'!$B$19,'Start Here'!$B$19&amp;"+ Achieved","Below "&amp;'Start Here'!$B$19))</f>
        <v/>
      </c>
      <c r="S16" s="47"/>
      <c r="T16" s="47"/>
      <c r="U16" s="47"/>
      <c r="V16" s="47"/>
      <c r="W16" s="45" t="str">
        <f aca="false">IF(OR(H16="Below Floor",N16="Below Minimum",N16="Review PTO"),"Action Required",IF(H16="Exception","Review",IF(AND(H16="Not Started",N16="Not Started"),"Not Started",IF(OR(H16="Not Started",N16="Not Started"),"In Progress","No Gap"))))</f>
        <v>Not Started</v>
      </c>
    </row>
    <row r="17" customFormat="false" ht="33.75" hidden="false" customHeight="true" outlineLevel="0" collapsed="false">
      <c r="A17" s="48" t="n">
        <v>11</v>
      </c>
      <c r="B17" s="49" t="n">
        <v>46314</v>
      </c>
      <c r="C17" s="48" t="s">
        <v>151</v>
      </c>
      <c r="D17" s="43"/>
      <c r="E17" s="43"/>
      <c r="F17" s="44" t="str">
        <f aca="false">IF(COUNT(D17:E17)=0,"",D17+(E17*0.5))</f>
        <v/>
      </c>
      <c r="G17" s="44" t="n">
        <f aca="false">'Start Here'!$B$13</f>
        <v>9</v>
      </c>
      <c r="H17" s="45" t="str">
        <f aca="false">IF(F17="","Not Started",IF(F17&lt;'Start Here'!$B$14,"Below Floor",IF(F17&lt;'Start Here'!$B$13,"Exception","Meets")))</f>
        <v>Not Started</v>
      </c>
      <c r="I17" s="43"/>
      <c r="J17" s="43"/>
      <c r="K17" s="44" t="str">
        <f aca="false">IF(COUNT(I17:J17)=0,"",I17+(J17*0.5))</f>
        <v/>
      </c>
      <c r="L17" s="43"/>
      <c r="M17" s="44" t="str">
        <f aca="false">IF(K17="","",IF(L17="",'Start Here'!$B$15,IF(L17&gt;=2,'Start Here'!$B$17,IF(L17=1,'Start Here'!$B$16,'Start Here'!$B$15))))</f>
        <v/>
      </c>
      <c r="N17" s="45" t="str">
        <f aca="false">IF(K17="","Not Started",IF(L17&gt;2,"Review PTO",IF(K17&lt;M17,"Below Minimum","Meets")))</f>
        <v>Not Started</v>
      </c>
      <c r="O17" s="46"/>
      <c r="P17" s="45" t="str">
        <f aca="false">IF(O17="","",IF(O17&gt;='Start Here'!$B$18,'Start Here'!$B$18&amp;"+ Achieved","Below "&amp;'Start Here'!$B$18))</f>
        <v/>
      </c>
      <c r="Q17" s="46"/>
      <c r="R17" s="45" t="str">
        <f aca="false">IF(Q17="","",IF(Q17&gt;='Start Here'!$B$19,'Start Here'!$B$19&amp;"+ Achieved","Below "&amp;'Start Here'!$B$19))</f>
        <v/>
      </c>
      <c r="S17" s="47"/>
      <c r="T17" s="47"/>
      <c r="U17" s="47"/>
      <c r="V17" s="47"/>
      <c r="W17" s="45" t="str">
        <f aca="false">IF(OR(H17="Below Floor",N17="Below Minimum",N17="Review PTO"),"Action Required",IF(H17="Exception","Review",IF(AND(H17="Not Started",N17="Not Started"),"Not Started",IF(OR(H17="Not Started",N17="Not Started"),"In Progress","No Gap"))))</f>
        <v>Not Started</v>
      </c>
    </row>
    <row r="18" customFormat="false" ht="33.75" hidden="false" customHeight="true" outlineLevel="0" collapsed="false">
      <c r="A18" s="48" t="n">
        <v>12</v>
      </c>
      <c r="B18" s="49" t="n">
        <v>46321</v>
      </c>
      <c r="C18" s="48" t="s">
        <v>151</v>
      </c>
      <c r="D18" s="43"/>
      <c r="E18" s="43"/>
      <c r="F18" s="44" t="str">
        <f aca="false">IF(COUNT(D18:E18)=0,"",D18+(E18*0.5))</f>
        <v/>
      </c>
      <c r="G18" s="44" t="n">
        <f aca="false">'Start Here'!$B$13</f>
        <v>9</v>
      </c>
      <c r="H18" s="45" t="str">
        <f aca="false">IF(F18="","Not Started",IF(F18&lt;'Start Here'!$B$14,"Below Floor",IF(F18&lt;'Start Here'!$B$13,"Exception","Meets")))</f>
        <v>Not Started</v>
      </c>
      <c r="I18" s="43"/>
      <c r="J18" s="43"/>
      <c r="K18" s="44" t="str">
        <f aca="false">IF(COUNT(I18:J18)=0,"",I18+(J18*0.5))</f>
        <v/>
      </c>
      <c r="L18" s="43"/>
      <c r="M18" s="44" t="str">
        <f aca="false">IF(K18="","",IF(L18="",'Start Here'!$B$15,IF(L18&gt;=2,'Start Here'!$B$17,IF(L18=1,'Start Here'!$B$16,'Start Here'!$B$15))))</f>
        <v/>
      </c>
      <c r="N18" s="45" t="str">
        <f aca="false">IF(K18="","Not Started",IF(L18&gt;2,"Review PTO",IF(K18&lt;M18,"Below Minimum","Meets")))</f>
        <v>Not Started</v>
      </c>
      <c r="O18" s="46"/>
      <c r="P18" s="45" t="str">
        <f aca="false">IF(O18="","",IF(O18&gt;='Start Here'!$B$18,'Start Here'!$B$18&amp;"+ Achieved","Below "&amp;'Start Here'!$B$18))</f>
        <v/>
      </c>
      <c r="Q18" s="46"/>
      <c r="R18" s="45" t="str">
        <f aca="false">IF(Q18="","",IF(Q18&gt;='Start Here'!$B$19,'Start Here'!$B$19&amp;"+ Achieved","Below "&amp;'Start Here'!$B$19))</f>
        <v/>
      </c>
      <c r="S18" s="47"/>
      <c r="T18" s="47"/>
      <c r="U18" s="47"/>
      <c r="V18" s="47"/>
      <c r="W18" s="45" t="str">
        <f aca="false">IF(OR(H18="Below Floor",N18="Below Minimum",N18="Review PTO"),"Action Required",IF(H18="Exception","Review",IF(AND(H18="Not Started",N18="Not Started"),"Not Started",IF(OR(H18="Not Started",N18="Not Started"),"In Progress","No Gap"))))</f>
        <v>Not Started</v>
      </c>
    </row>
    <row r="19" customFormat="false" ht="33.75" hidden="false" customHeight="true" outlineLevel="0" collapsed="false">
      <c r="A19" s="48" t="n">
        <v>13</v>
      </c>
      <c r="B19" s="49" t="n">
        <v>46328</v>
      </c>
      <c r="C19" s="48" t="s">
        <v>151</v>
      </c>
      <c r="D19" s="43"/>
      <c r="E19" s="43"/>
      <c r="F19" s="44" t="str">
        <f aca="false">IF(COUNT(D19:E19)=0,"",D19+(E19*0.5))</f>
        <v/>
      </c>
      <c r="G19" s="44" t="n">
        <f aca="false">'Start Here'!$B$13</f>
        <v>9</v>
      </c>
      <c r="H19" s="45" t="str">
        <f aca="false">IF(F19="","Not Started",IF(F19&lt;'Start Here'!$B$14,"Below Floor",IF(F19&lt;'Start Here'!$B$13,"Exception","Meets")))</f>
        <v>Not Started</v>
      </c>
      <c r="I19" s="43"/>
      <c r="J19" s="43"/>
      <c r="K19" s="44" t="str">
        <f aca="false">IF(COUNT(I19:J19)=0,"",I19+(J19*0.5))</f>
        <v/>
      </c>
      <c r="L19" s="43"/>
      <c r="M19" s="44" t="str">
        <f aca="false">IF(K19="","",IF(L19="",'Start Here'!$B$15,IF(L19&gt;=2,'Start Here'!$B$17,IF(L19=1,'Start Here'!$B$16,'Start Here'!$B$15))))</f>
        <v/>
      </c>
      <c r="N19" s="45" t="str">
        <f aca="false">IF(K19="","Not Started",IF(L19&gt;2,"Review PTO",IF(K19&lt;M19,"Below Minimum","Meets")))</f>
        <v>Not Started</v>
      </c>
      <c r="O19" s="46"/>
      <c r="P19" s="45" t="str">
        <f aca="false">IF(O19="","",IF(O19&gt;='Start Here'!$B$18,'Start Here'!$B$18&amp;"+ Achieved","Below "&amp;'Start Here'!$B$18))</f>
        <v/>
      </c>
      <c r="Q19" s="46"/>
      <c r="R19" s="45" t="str">
        <f aca="false">IF(Q19="","",IF(Q19&gt;='Start Here'!$B$19,'Start Here'!$B$19&amp;"+ Achieved","Below "&amp;'Start Here'!$B$19))</f>
        <v/>
      </c>
      <c r="S19" s="47"/>
      <c r="T19" s="47"/>
      <c r="U19" s="47"/>
      <c r="V19" s="47"/>
      <c r="W19" s="45" t="str">
        <f aca="false">IF(OR(H19="Below Floor",N19="Below Minimum",N19="Review PTO"),"Action Required",IF(H19="Exception","Review",IF(AND(H19="Not Started",N19="Not Started"),"Not Started",IF(OR(H19="Not Started",N19="Not Started"),"In Progress","No Gap"))))</f>
        <v>Not Started</v>
      </c>
    </row>
    <row r="20" customFormat="false" ht="33.75" hidden="false" customHeight="true" outlineLevel="0" collapsed="false">
      <c r="A20" s="48" t="n">
        <v>14</v>
      </c>
      <c r="B20" s="49" t="n">
        <v>46335</v>
      </c>
      <c r="C20" s="48" t="s">
        <v>151</v>
      </c>
      <c r="D20" s="43"/>
      <c r="E20" s="43"/>
      <c r="F20" s="44" t="str">
        <f aca="false">IF(COUNT(D20:E20)=0,"",D20+(E20*0.5))</f>
        <v/>
      </c>
      <c r="G20" s="44" t="n">
        <f aca="false">'Start Here'!$B$13</f>
        <v>9</v>
      </c>
      <c r="H20" s="45" t="str">
        <f aca="false">IF(F20="","Not Started",IF(F20&lt;'Start Here'!$B$14,"Below Floor",IF(F20&lt;'Start Here'!$B$13,"Exception","Meets")))</f>
        <v>Not Started</v>
      </c>
      <c r="I20" s="43"/>
      <c r="J20" s="43"/>
      <c r="K20" s="44" t="str">
        <f aca="false">IF(COUNT(I20:J20)=0,"",I20+(J20*0.5))</f>
        <v/>
      </c>
      <c r="L20" s="43"/>
      <c r="M20" s="44" t="str">
        <f aca="false">IF(K20="","",IF(L20="",'Start Here'!$B$15,IF(L20&gt;=2,'Start Here'!$B$17,IF(L20=1,'Start Here'!$B$16,'Start Here'!$B$15))))</f>
        <v/>
      </c>
      <c r="N20" s="45" t="str">
        <f aca="false">IF(K20="","Not Started",IF(L20&gt;2,"Review PTO",IF(K20&lt;M20,"Below Minimum","Meets")))</f>
        <v>Not Started</v>
      </c>
      <c r="O20" s="46"/>
      <c r="P20" s="45" t="str">
        <f aca="false">IF(O20="","",IF(O20&gt;='Start Here'!$B$18,'Start Here'!$B$18&amp;"+ Achieved","Below "&amp;'Start Here'!$B$18))</f>
        <v/>
      </c>
      <c r="Q20" s="46"/>
      <c r="R20" s="45" t="str">
        <f aca="false">IF(Q20="","",IF(Q20&gt;='Start Here'!$B$19,'Start Here'!$B$19&amp;"+ Achieved","Below "&amp;'Start Here'!$B$19))</f>
        <v/>
      </c>
      <c r="S20" s="47"/>
      <c r="T20" s="47"/>
      <c r="U20" s="47"/>
      <c r="V20" s="47"/>
      <c r="W20" s="45" t="str">
        <f aca="false">IF(OR(H20="Below Floor",N20="Below Minimum",N20="Review PTO"),"Action Required",IF(H20="Exception","Review",IF(AND(H20="Not Started",N20="Not Started"),"Not Started",IF(OR(H20="Not Started",N20="Not Started"),"In Progress","No Gap"))))</f>
        <v>Not Started</v>
      </c>
    </row>
    <row r="21" customFormat="false" ht="33.75" hidden="false" customHeight="true" outlineLevel="0" collapsed="false">
      <c r="A21" s="48" t="n">
        <v>15</v>
      </c>
      <c r="B21" s="49" t="n">
        <v>46342</v>
      </c>
      <c r="C21" s="48" t="s">
        <v>151</v>
      </c>
      <c r="D21" s="43"/>
      <c r="E21" s="43"/>
      <c r="F21" s="44" t="str">
        <f aca="false">IF(COUNT(D21:E21)=0,"",D21+(E21*0.5))</f>
        <v/>
      </c>
      <c r="G21" s="44" t="n">
        <f aca="false">'Start Here'!$B$13</f>
        <v>9</v>
      </c>
      <c r="H21" s="45" t="str">
        <f aca="false">IF(F21="","Not Started",IF(F21&lt;'Start Here'!$B$14,"Below Floor",IF(F21&lt;'Start Here'!$B$13,"Exception","Meets")))</f>
        <v>Not Started</v>
      </c>
      <c r="I21" s="43"/>
      <c r="J21" s="43"/>
      <c r="K21" s="44" t="str">
        <f aca="false">IF(COUNT(I21:J21)=0,"",I21+(J21*0.5))</f>
        <v/>
      </c>
      <c r="L21" s="43"/>
      <c r="M21" s="44" t="str">
        <f aca="false">IF(K21="","",IF(L21="",'Start Here'!$B$15,IF(L21&gt;=2,'Start Here'!$B$17,IF(L21=1,'Start Here'!$B$16,'Start Here'!$B$15))))</f>
        <v/>
      </c>
      <c r="N21" s="45" t="str">
        <f aca="false">IF(K21="","Not Started",IF(L21&gt;2,"Review PTO",IF(K21&lt;M21,"Below Minimum","Meets")))</f>
        <v>Not Started</v>
      </c>
      <c r="O21" s="46"/>
      <c r="P21" s="45" t="str">
        <f aca="false">IF(O21="","",IF(O21&gt;='Start Here'!$B$18,'Start Here'!$B$18&amp;"+ Achieved","Below "&amp;'Start Here'!$B$18))</f>
        <v/>
      </c>
      <c r="Q21" s="46"/>
      <c r="R21" s="45" t="str">
        <f aca="false">IF(Q21="","",IF(Q21&gt;='Start Here'!$B$19,'Start Here'!$B$19&amp;"+ Achieved","Below "&amp;'Start Here'!$B$19))</f>
        <v/>
      </c>
      <c r="S21" s="47"/>
      <c r="T21" s="47"/>
      <c r="U21" s="47"/>
      <c r="V21" s="47"/>
      <c r="W21" s="45" t="str">
        <f aca="false">IF(OR(H21="Below Floor",N21="Below Minimum",N21="Review PTO"),"Action Required",IF(H21="Exception","Review",IF(AND(H21="Not Started",N21="Not Started"),"Not Started",IF(OR(H21="Not Started",N21="Not Started"),"In Progress","No Gap"))))</f>
        <v>Not Started</v>
      </c>
    </row>
    <row r="22" customFormat="false" ht="33.75" hidden="false" customHeight="true" outlineLevel="0" collapsed="false">
      <c r="A22" s="48" t="n">
        <v>16</v>
      </c>
      <c r="B22" s="49" t="n">
        <v>46349</v>
      </c>
      <c r="C22" s="48" t="s">
        <v>151</v>
      </c>
      <c r="D22" s="43"/>
      <c r="E22" s="43"/>
      <c r="F22" s="44" t="str">
        <f aca="false">IF(COUNT(D22:E22)=0,"",D22+(E22*0.5))</f>
        <v/>
      </c>
      <c r="G22" s="44" t="n">
        <f aca="false">'Start Here'!$B$13</f>
        <v>9</v>
      </c>
      <c r="H22" s="45" t="str">
        <f aca="false">IF(F22="","Not Started",IF(F22&lt;'Start Here'!$B$14,"Below Floor",IF(F22&lt;'Start Here'!$B$13,"Exception","Meets")))</f>
        <v>Not Started</v>
      </c>
      <c r="I22" s="43"/>
      <c r="J22" s="43"/>
      <c r="K22" s="44" t="str">
        <f aca="false">IF(COUNT(I22:J22)=0,"",I22+(J22*0.5))</f>
        <v/>
      </c>
      <c r="L22" s="43"/>
      <c r="M22" s="44" t="str">
        <f aca="false">IF(K22="","",IF(L22="",'Start Here'!$B$15,IF(L22&gt;=2,'Start Here'!$B$17,IF(L22=1,'Start Here'!$B$16,'Start Here'!$B$15))))</f>
        <v/>
      </c>
      <c r="N22" s="45" t="str">
        <f aca="false">IF(K22="","Not Started",IF(L22&gt;2,"Review PTO",IF(K22&lt;M22,"Below Minimum","Meets")))</f>
        <v>Not Started</v>
      </c>
      <c r="O22" s="46"/>
      <c r="P22" s="45" t="str">
        <f aca="false">IF(O22="","",IF(O22&gt;='Start Here'!$B$18,'Start Here'!$B$18&amp;"+ Achieved","Below "&amp;'Start Here'!$B$18))</f>
        <v/>
      </c>
      <c r="Q22" s="46"/>
      <c r="R22" s="45" t="str">
        <f aca="false">IF(Q22="","",IF(Q22&gt;='Start Here'!$B$19,'Start Here'!$B$19&amp;"+ Achieved","Below "&amp;'Start Here'!$B$19))</f>
        <v/>
      </c>
      <c r="S22" s="47"/>
      <c r="T22" s="47"/>
      <c r="U22" s="47"/>
      <c r="V22" s="47"/>
      <c r="W22" s="45" t="str">
        <f aca="false">IF(OR(H22="Below Floor",N22="Below Minimum",N22="Review PTO"),"Action Required",IF(H22="Exception","Review",IF(AND(H22="Not Started",N22="Not Started"),"Not Started",IF(OR(H22="Not Started",N22="Not Started"),"In Progress","No Gap"))))</f>
        <v>Not Started</v>
      </c>
    </row>
  </sheetData>
  <mergeCells count="6">
    <mergeCell ref="A1:W1"/>
    <mergeCell ref="A2:W2"/>
    <mergeCell ref="A4:H4"/>
    <mergeCell ref="I4:N4"/>
    <mergeCell ref="O4:R4"/>
    <mergeCell ref="S4:W4"/>
  </mergeCells>
  <conditionalFormatting sqref="H7:H22">
    <cfRule type="containsText" priority="2" operator="containsText" aboveAverage="0" equalAverage="0" bottom="0" percent="0" rank="0" text="Meets" dxfId="7">
      <formula>NOT(ISERROR(SEARCH("Meets",H7)))</formula>
    </cfRule>
    <cfRule type="containsText" priority="3" operator="containsText" aboveAverage="0" equalAverage="0" bottom="0" percent="0" rank="0" text="Achieved" dxfId="7">
      <formula>NOT(ISERROR(SEARCH("Achieved",H7)))</formula>
    </cfRule>
    <cfRule type="containsText" priority="4" operator="containsText" aboveAverage="0" equalAverage="0" bottom="0" percent="0" rank="0" text="No Gap" dxfId="7">
      <formula>NOT(ISERROR(SEARCH("No Gap",H7)))</formula>
    </cfRule>
    <cfRule type="containsText" priority="5" operator="containsText" aboveAverage="0" equalAverage="0" bottom="0" percent="0" rank="0" text="Exception" dxfId="8">
      <formula>NOT(ISERROR(SEARCH("Exception",H7)))</formula>
    </cfRule>
    <cfRule type="containsText" priority="6" operator="containsText" aboveAverage="0" equalAverage="0" bottom="0" percent="0" rank="0" text="Review" dxfId="8">
      <formula>NOT(ISERROR(SEARCH("Review",H7)))</formula>
    </cfRule>
    <cfRule type="containsText" priority="7" operator="containsText" aboveAverage="0" equalAverage="0" bottom="0" percent="0" rank="0" text="Below" dxfId="9">
      <formula>NOT(ISERROR(SEARCH("Below",H7)))</formula>
    </cfRule>
    <cfRule type="containsText" priority="8" operator="containsText" aboveAverage="0" equalAverage="0" bottom="0" percent="0" rank="0" text="Action Required" dxfId="9">
      <formula>NOT(ISERROR(SEARCH("Action Required",H7)))</formula>
    </cfRule>
    <cfRule type="containsText" priority="9" operator="containsText" aboveAverage="0" equalAverage="0" bottom="0" percent="0" rank="0" text="Not Started" dxfId="10">
      <formula>NOT(ISERROR(SEARCH("Not Started",H7)))</formula>
    </cfRule>
  </conditionalFormatting>
  <conditionalFormatting sqref="N7:N22">
    <cfRule type="containsText" priority="10" operator="containsText" aboveAverage="0" equalAverage="0" bottom="0" percent="0" rank="0" text="Meets" dxfId="7">
      <formula>NOT(ISERROR(SEARCH("Meets",N7)))</formula>
    </cfRule>
    <cfRule type="containsText" priority="11" operator="containsText" aboveAverage="0" equalAverage="0" bottom="0" percent="0" rank="0" text="Achieved" dxfId="7">
      <formula>NOT(ISERROR(SEARCH("Achieved",N7)))</formula>
    </cfRule>
    <cfRule type="containsText" priority="12" operator="containsText" aboveAverage="0" equalAverage="0" bottom="0" percent="0" rank="0" text="No Gap" dxfId="7">
      <formula>NOT(ISERROR(SEARCH("No Gap",N7)))</formula>
    </cfRule>
    <cfRule type="containsText" priority="13" operator="containsText" aboveAverage="0" equalAverage="0" bottom="0" percent="0" rank="0" text="Exception" dxfId="8">
      <formula>NOT(ISERROR(SEARCH("Exception",N7)))</formula>
    </cfRule>
    <cfRule type="containsText" priority="14" operator="containsText" aboveAverage="0" equalAverage="0" bottom="0" percent="0" rank="0" text="Review" dxfId="8">
      <formula>NOT(ISERROR(SEARCH("Review",N7)))</formula>
    </cfRule>
    <cfRule type="containsText" priority="15" operator="containsText" aboveAverage="0" equalAverage="0" bottom="0" percent="0" rank="0" text="Below" dxfId="9">
      <formula>NOT(ISERROR(SEARCH("Below",N7)))</formula>
    </cfRule>
    <cfRule type="containsText" priority="16" operator="containsText" aboveAverage="0" equalAverage="0" bottom="0" percent="0" rank="0" text="Action Required" dxfId="9">
      <formula>NOT(ISERROR(SEARCH("Action Required",N7)))</formula>
    </cfRule>
    <cfRule type="containsText" priority="17" operator="containsText" aboveAverage="0" equalAverage="0" bottom="0" percent="0" rank="0" text="Not Started" dxfId="10">
      <formula>NOT(ISERROR(SEARCH("Not Started",N7)))</formula>
    </cfRule>
  </conditionalFormatting>
  <conditionalFormatting sqref="P7:P22">
    <cfRule type="containsText" priority="18" operator="containsText" aboveAverage="0" equalAverage="0" bottom="0" percent="0" rank="0" text="Meets" dxfId="7">
      <formula>NOT(ISERROR(SEARCH("Meets",P7)))</formula>
    </cfRule>
    <cfRule type="containsText" priority="19" operator="containsText" aboveAverage="0" equalAverage="0" bottom="0" percent="0" rank="0" text="Achieved" dxfId="7">
      <formula>NOT(ISERROR(SEARCH("Achieved",P7)))</formula>
    </cfRule>
    <cfRule type="containsText" priority="20" operator="containsText" aboveAverage="0" equalAverage="0" bottom="0" percent="0" rank="0" text="No Gap" dxfId="7">
      <formula>NOT(ISERROR(SEARCH("No Gap",P7)))</formula>
    </cfRule>
    <cfRule type="containsText" priority="21" operator="containsText" aboveAverage="0" equalAverage="0" bottom="0" percent="0" rank="0" text="Exception" dxfId="8">
      <formula>NOT(ISERROR(SEARCH("Exception",P7)))</formula>
    </cfRule>
    <cfRule type="containsText" priority="22" operator="containsText" aboveAverage="0" equalAverage="0" bottom="0" percent="0" rank="0" text="Review" dxfId="8">
      <formula>NOT(ISERROR(SEARCH("Review",P7)))</formula>
    </cfRule>
    <cfRule type="containsText" priority="23" operator="containsText" aboveAverage="0" equalAverage="0" bottom="0" percent="0" rank="0" text="Below" dxfId="9">
      <formula>NOT(ISERROR(SEARCH("Below",P7)))</formula>
    </cfRule>
    <cfRule type="containsText" priority="24" operator="containsText" aboveAverage="0" equalAverage="0" bottom="0" percent="0" rank="0" text="Action Required" dxfId="9">
      <formula>NOT(ISERROR(SEARCH("Action Required",P7)))</formula>
    </cfRule>
    <cfRule type="containsText" priority="25" operator="containsText" aboveAverage="0" equalAverage="0" bottom="0" percent="0" rank="0" text="Not Started" dxfId="10">
      <formula>NOT(ISERROR(SEARCH("Not Started",P7)))</formula>
    </cfRule>
  </conditionalFormatting>
  <conditionalFormatting sqref="R7:R22">
    <cfRule type="containsText" priority="26" operator="containsText" aboveAverage="0" equalAverage="0" bottom="0" percent="0" rank="0" text="Meets" dxfId="7">
      <formula>NOT(ISERROR(SEARCH("Meets",R7)))</formula>
    </cfRule>
    <cfRule type="containsText" priority="27" operator="containsText" aboveAverage="0" equalAverage="0" bottom="0" percent="0" rank="0" text="Achieved" dxfId="7">
      <formula>NOT(ISERROR(SEARCH("Achieved",R7)))</formula>
    </cfRule>
    <cfRule type="containsText" priority="28" operator="containsText" aboveAverage="0" equalAverage="0" bottom="0" percent="0" rank="0" text="No Gap" dxfId="7">
      <formula>NOT(ISERROR(SEARCH("No Gap",R7)))</formula>
    </cfRule>
    <cfRule type="containsText" priority="29" operator="containsText" aboveAverage="0" equalAverage="0" bottom="0" percent="0" rank="0" text="Exception" dxfId="8">
      <formula>NOT(ISERROR(SEARCH("Exception",R7)))</formula>
    </cfRule>
    <cfRule type="containsText" priority="30" operator="containsText" aboveAverage="0" equalAverage="0" bottom="0" percent="0" rank="0" text="Review" dxfId="8">
      <formula>NOT(ISERROR(SEARCH("Review",R7)))</formula>
    </cfRule>
    <cfRule type="containsText" priority="31" operator="containsText" aboveAverage="0" equalAverage="0" bottom="0" percent="0" rank="0" text="Below" dxfId="9">
      <formula>NOT(ISERROR(SEARCH("Below",R7)))</formula>
    </cfRule>
    <cfRule type="containsText" priority="32" operator="containsText" aboveAverage="0" equalAverage="0" bottom="0" percent="0" rank="0" text="Action Required" dxfId="9">
      <formula>NOT(ISERROR(SEARCH("Action Required",R7)))</formula>
    </cfRule>
    <cfRule type="containsText" priority="33" operator="containsText" aboveAverage="0" equalAverage="0" bottom="0" percent="0" rank="0" text="Not Started" dxfId="10">
      <formula>NOT(ISERROR(SEARCH("Not Started",R7)))</formula>
    </cfRule>
  </conditionalFormatting>
  <conditionalFormatting sqref="W7:W22">
    <cfRule type="containsText" priority="34" operator="containsText" aboveAverage="0" equalAverage="0" bottom="0" percent="0" rank="0" text="Meets" dxfId="7">
      <formula>NOT(ISERROR(SEARCH("Meets",W7)))</formula>
    </cfRule>
    <cfRule type="containsText" priority="35" operator="containsText" aboveAverage="0" equalAverage="0" bottom="0" percent="0" rank="0" text="Achieved" dxfId="7">
      <formula>NOT(ISERROR(SEARCH("Achieved",W7)))</formula>
    </cfRule>
    <cfRule type="containsText" priority="36" operator="containsText" aboveAverage="0" equalAverage="0" bottom="0" percent="0" rank="0" text="No Gap" dxfId="7">
      <formula>NOT(ISERROR(SEARCH("No Gap",W7)))</formula>
    </cfRule>
    <cfRule type="containsText" priority="37" operator="containsText" aboveAverage="0" equalAverage="0" bottom="0" percent="0" rank="0" text="Exception" dxfId="8">
      <formula>NOT(ISERROR(SEARCH("Exception",W7)))</formula>
    </cfRule>
    <cfRule type="containsText" priority="38" operator="containsText" aboveAverage="0" equalAverage="0" bottom="0" percent="0" rank="0" text="Review" dxfId="8">
      <formula>NOT(ISERROR(SEARCH("Review",W7)))</formula>
    </cfRule>
    <cfRule type="containsText" priority="39" operator="containsText" aboveAverage="0" equalAverage="0" bottom="0" percent="0" rank="0" text="Below" dxfId="9">
      <formula>NOT(ISERROR(SEARCH("Below",W7)))</formula>
    </cfRule>
    <cfRule type="containsText" priority="40" operator="containsText" aboveAverage="0" equalAverage="0" bottom="0" percent="0" rank="0" text="Action Required" dxfId="9">
      <formula>NOT(ISERROR(SEARCH("Action Required",W7)))</formula>
    </cfRule>
    <cfRule type="containsText" priority="41" operator="containsText" aboveAverage="0" equalAverage="0" bottom="0" percent="0" rank="0" text="Not Started" dxfId="10">
      <formula>NOT(ISERROR(SEARCH("Not Started",W7)))</formula>
    </cfRule>
    <cfRule type="containsText" priority="42" operator="containsText" aboveAverage="0" equalAverage="0" bottom="0" percent="0" rank="0" text="In Progress" dxfId="10">
      <formula>NOT(ISERROR(SEARCH("In Progress",W7)))</formula>
    </cfRule>
  </conditionalFormatting>
  <dataValidations count="8">
    <dataValidation allowBlank="true" error="Enter a number between 0 and 60." errorStyle="stop" errorTitle="Check this entry" operator="between" prompt="Full clinic days this week - each counts 1.0." promptTitle="Spine full clinic days" showDropDown="false" showErrorMessage="true" showInputMessage="true" sqref="D7:D22" type="decimal">
      <formula1>0</formula1>
      <formula2>60</formula2>
    </dataValidation>
    <dataValidation allowBlank="true" error="Enter a number between 0 and 60." errorStyle="stop" errorTitle="Check this entry" operator="between" prompt="Half-days this week - each counts 0.5 toward the total." promptTitle="Spine half-days" showDropDown="false" showErrorMessage="true" showInputMessage="true" sqref="E7:E22" type="decimal">
      <formula1>0</formula1>
      <formula2>60</formula2>
    </dataValidation>
    <dataValidation allowBlank="true" error="Enter a number between 0 and 60." errorStyle="stop" errorTitle="Check this entry" operator="between" prompt="Full clinic days this week - each counts 1.0." promptTitle="Ortho full clinic days" showDropDown="false" showErrorMessage="true" showInputMessage="true" sqref="I7:I22" type="decimal">
      <formula1>0</formula1>
      <formula2>60</formula2>
    </dataValidation>
    <dataValidation allowBlank="true" error="Enter a number between 0 and 60." errorStyle="stop" errorTitle="Check this entry" operator="between" prompt="Half-days this week - each counts 0.5 toward the total." promptTitle="Ortho half-days" showDropDown="false" showErrorMessage="true" showInputMessage="true" sqref="J7:J22" type="decimal">
      <formula1>0</formula1>
      <formula2>60</formula2>
    </dataValidation>
    <dataValidation allowBlank="true" error="Enter a number between 0 and 7." errorStyle="stop" errorTitle="Check this entry" operator="between" prompt="How many of the 7 Ortho surgeons (Physician Roster tab) are out this week. Enter 0 if none." promptTitle="Ortho physicians out" showDropDown="false" showErrorMessage="true" showInputMessage="true" sqref="L7:L22" type="whole">
      <formula1>0</formula1>
      <formula2>7</formula2>
    </dataValidation>
    <dataValidation allowBlank="true" error="Enter a number between 0 and 1000." errorStyle="stop" errorTitle="Check this entry" operator="between" prompt="New patients seen by Spine this week." promptTitle="Spine new patients" showDropDown="false" showErrorMessage="true" showInputMessage="true" sqref="O7:O22" type="whole">
      <formula1>0</formula1>
      <formula2>1000</formula2>
    </dataValidation>
    <dataValidation allowBlank="true" error="Enter a number between 0 and 1000." errorStyle="stop" errorTitle="Check this entry" operator="between" prompt="New patients seen by Ortho this week." promptTitle="Ortho new patients" showDropDown="false" showErrorMessage="true" showInputMessage="true" sqref="Q7:Q22" type="whole">
      <formula1>0</formula1>
      <formula2>1000</formula2>
    </dataValidation>
    <dataValidation allowBlank="true" error="Choose one of the listed actions." errorStyle="stop" errorTitle="Pick from the list" operator="between" prompt="Pick the planned corrective action from the list." promptTitle="Planned action" showDropDown="false" showErrorMessage="true" showInputMessage="true" sqref="V7:V22" type="list">
      <formula1>"No Action Needed,Review,Add Clinic Day(s),Adjust PTO,Schedule Pending"</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tableParts>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7706"/>
    <pageSetUpPr fitToPage="true"/>
  </sheetPr>
  <dimension ref="A1:J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10.76953125" defaultRowHeight="15" zeroHeight="false" outlineLevelRow="0" outlineLevelCol="0"/>
  <cols>
    <col min="1" max="1" width="15" customWidth="1"/>
    <col min="2" max="2" width="13" customWidth="1"/>
    <col min="3" max="3" width="11" customWidth="1"/>
    <col min="4" max="4" width="11" customWidth="1"/>
    <col min="5" max="5" width="14" customWidth="1"/>
    <col min="6" max="6" width="12" customWidth="1"/>
    <col min="7" max="7" width="12" customWidth="1"/>
    <col min="8" max="8" width="14" customWidth="1"/>
    <col min="9" max="9" width="34" customWidth="1"/>
    <col min="10" max="10" width="24" customWidth="1"/>
  </cols>
  <sheetData>
    <row r="1" customFormat="false" ht="33.75" hidden="false" customHeight="true" outlineLevel="0" collapsed="false">
      <c r="A1" s="1" t="s">
        <v>152</v>
      </c>
      <c r="B1" s="1"/>
      <c r="C1" s="1"/>
      <c r="D1" s="1"/>
      <c r="E1" s="1"/>
      <c r="F1" s="1"/>
      <c r="G1" s="1"/>
      <c r="H1" s="1"/>
      <c r="I1" s="1"/>
      <c r="J1" s="1"/>
    </row>
    <row r="2" customFormat="false" ht="33.75" hidden="false" customHeight="true" outlineLevel="0" collapsed="false">
      <c r="A2" s="2" t="s">
        <v>153</v>
      </c>
      <c r="B2" s="2"/>
      <c r="C2" s="2"/>
      <c r="D2" s="2"/>
      <c r="E2" s="2"/>
      <c r="F2" s="2"/>
      <c r="G2" s="2"/>
      <c r="H2" s="2"/>
      <c r="I2" s="2"/>
      <c r="J2" s="2"/>
    </row>
    <row r="3" customFormat="false" ht="15" hidden="false" customHeight="true" outlineLevel="0" collapsed="false">
      <c r="A3" s="32"/>
      <c r="B3" s="32"/>
      <c r="C3" s="32"/>
      <c r="D3" s="32"/>
      <c r="E3" s="32"/>
      <c r="F3" s="32"/>
      <c r="G3" s="32"/>
      <c r="H3" s="32"/>
      <c r="I3" s="32"/>
      <c r="J3" s="32"/>
    </row>
    <row r="4" customFormat="false" ht="15" hidden="false" customHeight="true" outlineLevel="0" collapsed="false">
      <c r="A4" s="50" t="s">
        <v>154</v>
      </c>
      <c r="B4" s="50"/>
      <c r="C4" s="50"/>
      <c r="D4" s="50"/>
      <c r="E4" s="50"/>
      <c r="F4" s="50"/>
      <c r="G4" s="50"/>
      <c r="H4" s="50"/>
      <c r="I4" s="50"/>
      <c r="J4" s="50"/>
    </row>
    <row r="5" customFormat="false" ht="15" hidden="false" customHeight="true" outlineLevel="0" collapsed="false">
      <c r="A5" s="32"/>
      <c r="B5" s="32"/>
      <c r="C5" s="32"/>
      <c r="D5" s="32"/>
      <c r="E5" s="32"/>
      <c r="F5" s="32"/>
      <c r="G5" s="32"/>
      <c r="H5" s="32"/>
      <c r="I5" s="32"/>
      <c r="J5" s="32"/>
    </row>
    <row r="6" customFormat="false" ht="36" hidden="false" customHeight="true" outlineLevel="0" collapsed="false">
      <c r="A6" s="33" t="s">
        <v>128</v>
      </c>
      <c r="B6" s="33" t="s">
        <v>37</v>
      </c>
      <c r="C6" s="33" t="s">
        <v>155</v>
      </c>
      <c r="D6" s="33" t="s">
        <v>156</v>
      </c>
      <c r="E6" s="33" t="s">
        <v>157</v>
      </c>
      <c r="F6" s="33" t="s">
        <v>158</v>
      </c>
      <c r="G6" s="33" t="s">
        <v>159</v>
      </c>
      <c r="H6" s="33" t="s">
        <v>160</v>
      </c>
      <c r="I6" s="33" t="s">
        <v>147</v>
      </c>
      <c r="J6" s="33" t="s">
        <v>161</v>
      </c>
    </row>
    <row r="7" customFormat="false" ht="30" hidden="false" customHeight="true" outlineLevel="0" collapsed="false">
      <c r="A7" s="51"/>
      <c r="B7" s="36"/>
      <c r="C7" s="36"/>
      <c r="D7" s="36"/>
      <c r="E7" s="37" t="str">
        <f aca="false">IF(COUNT(C7:D7)=0,"",C7+(D7*0.5))</f>
        <v/>
      </c>
      <c r="F7" s="39"/>
      <c r="G7" s="52" t="str">
        <f aca="false">IF(B7="","",IF(B7="Spine",'Start Here'!$B$18,'Start Here'!$B$19))</f>
        <v/>
      </c>
      <c r="H7" s="38" t="str">
        <f aca="false">IF(OR(B7="",F7=""),"",IF(F7&gt;=G7,"Achieved","Below Goal"))</f>
        <v/>
      </c>
      <c r="I7" s="40"/>
      <c r="J7" s="40"/>
    </row>
    <row r="8" customFormat="false" ht="30" hidden="false" customHeight="true" outlineLevel="0" collapsed="false">
      <c r="A8" s="53"/>
      <c r="B8" s="43"/>
      <c r="C8" s="43"/>
      <c r="D8" s="43"/>
      <c r="E8" s="44" t="str">
        <f aca="false">IF(COUNT(C8:D8)=0,"",C8+(D8*0.5))</f>
        <v/>
      </c>
      <c r="F8" s="46"/>
      <c r="G8" s="54" t="str">
        <f aca="false">IF(B8="","",IF(B8="Spine",'Start Here'!$B$18,'Start Here'!$B$19))</f>
        <v/>
      </c>
      <c r="H8" s="45" t="str">
        <f aca="false">IF(OR(B8="",F8=""),"",IF(F8&gt;=G8,"Achieved","Below Goal"))</f>
        <v/>
      </c>
      <c r="I8" s="47"/>
      <c r="J8" s="47"/>
    </row>
    <row r="9" customFormat="false" ht="30" hidden="false" customHeight="true" outlineLevel="0" collapsed="false">
      <c r="A9" s="53"/>
      <c r="B9" s="43"/>
      <c r="C9" s="43"/>
      <c r="D9" s="43"/>
      <c r="E9" s="44" t="str">
        <f aca="false">IF(COUNT(C9:D9)=0,"",C9+(D9*0.5))</f>
        <v/>
      </c>
      <c r="F9" s="46"/>
      <c r="G9" s="54" t="str">
        <f aca="false">IF(B9="","",IF(B9="Spine",'Start Here'!$B$18,'Start Here'!$B$19))</f>
        <v/>
      </c>
      <c r="H9" s="45" t="str">
        <f aca="false">IF(OR(B9="",F9=""),"",IF(F9&gt;=G9,"Achieved","Below Goal"))</f>
        <v/>
      </c>
      <c r="I9" s="47"/>
      <c r="J9" s="47"/>
    </row>
    <row r="10" customFormat="false" ht="30" hidden="false" customHeight="true" outlineLevel="0" collapsed="false">
      <c r="A10" s="53"/>
      <c r="B10" s="43"/>
      <c r="C10" s="43"/>
      <c r="D10" s="43"/>
      <c r="E10" s="44" t="str">
        <f aca="false">IF(COUNT(C10:D10)=0,"",C10+(D10*0.5))</f>
        <v/>
      </c>
      <c r="F10" s="46"/>
      <c r="G10" s="54" t="str">
        <f aca="false">IF(B10="","",IF(B10="Spine",'Start Here'!$B$18,'Start Here'!$B$19))</f>
        <v/>
      </c>
      <c r="H10" s="45" t="str">
        <f aca="false">IF(OR(B10="",F10=""),"",IF(F10&gt;=G10,"Achieved","Below Goal"))</f>
        <v/>
      </c>
      <c r="I10" s="47"/>
      <c r="J10" s="47"/>
    </row>
    <row r="11" customFormat="false" ht="30" hidden="false" customHeight="true" outlineLevel="0" collapsed="false">
      <c r="A11" s="53"/>
      <c r="B11" s="43"/>
      <c r="C11" s="43"/>
      <c r="D11" s="43"/>
      <c r="E11" s="44" t="str">
        <f aca="false">IF(COUNT(C11:D11)=0,"",C11+(D11*0.5))</f>
        <v/>
      </c>
      <c r="F11" s="46"/>
      <c r="G11" s="54" t="str">
        <f aca="false">IF(B11="","",IF(B11="Spine",'Start Here'!$B$18,'Start Here'!$B$19))</f>
        <v/>
      </c>
      <c r="H11" s="45" t="str">
        <f aca="false">IF(OR(B11="",F11=""),"",IF(F11&gt;=G11,"Achieved","Below Goal"))</f>
        <v/>
      </c>
      <c r="I11" s="47"/>
      <c r="J11" s="47"/>
    </row>
    <row r="12" customFormat="false" ht="30" hidden="false" customHeight="true" outlineLevel="0" collapsed="false">
      <c r="A12" s="53"/>
      <c r="B12" s="43"/>
      <c r="C12" s="43"/>
      <c r="D12" s="43"/>
      <c r="E12" s="44" t="str">
        <f aca="false">IF(COUNT(C12:D12)=0,"",C12+(D12*0.5))</f>
        <v/>
      </c>
      <c r="F12" s="46"/>
      <c r="G12" s="54" t="str">
        <f aca="false">IF(B12="","",IF(B12="Spine",'Start Here'!$B$18,'Start Here'!$B$19))</f>
        <v/>
      </c>
      <c r="H12" s="45" t="str">
        <f aca="false">IF(OR(B12="",F12=""),"",IF(F12&gt;=G12,"Achieved","Below Goal"))</f>
        <v/>
      </c>
      <c r="I12" s="47"/>
      <c r="J12" s="47"/>
    </row>
    <row r="13" customFormat="false" ht="30" hidden="false" customHeight="true" outlineLevel="0" collapsed="false">
      <c r="A13" s="53"/>
      <c r="B13" s="43"/>
      <c r="C13" s="43"/>
      <c r="D13" s="43"/>
      <c r="E13" s="44" t="str">
        <f aca="false">IF(COUNT(C13:D13)=0,"",C13+(D13*0.5))</f>
        <v/>
      </c>
      <c r="F13" s="46"/>
      <c r="G13" s="54" t="str">
        <f aca="false">IF(B13="","",IF(B13="Spine",'Start Here'!$B$18,'Start Here'!$B$19))</f>
        <v/>
      </c>
      <c r="H13" s="45" t="str">
        <f aca="false">IF(OR(B13="",F13=""),"",IF(F13&gt;=G13,"Achieved","Below Goal"))</f>
        <v/>
      </c>
      <c r="I13" s="47"/>
      <c r="J13" s="47"/>
    </row>
    <row r="14" customFormat="false" ht="30" hidden="false" customHeight="true" outlineLevel="0" collapsed="false">
      <c r="A14" s="53"/>
      <c r="B14" s="43"/>
      <c r="C14" s="43"/>
      <c r="D14" s="43"/>
      <c r="E14" s="44" t="str">
        <f aca="false">IF(COUNT(C14:D14)=0,"",C14+(D14*0.5))</f>
        <v/>
      </c>
      <c r="F14" s="46"/>
      <c r="G14" s="54" t="str">
        <f aca="false">IF(B14="","",IF(B14="Spine",'Start Here'!$B$18,'Start Here'!$B$19))</f>
        <v/>
      </c>
      <c r="H14" s="45" t="str">
        <f aca="false">IF(OR(B14="",F14=""),"",IF(F14&gt;=G14,"Achieved","Below Goal"))</f>
        <v/>
      </c>
      <c r="I14" s="47"/>
      <c r="J14" s="47"/>
    </row>
    <row r="15" customFormat="false" ht="30" hidden="false" customHeight="true" outlineLevel="0" collapsed="false">
      <c r="A15" s="53"/>
      <c r="B15" s="43"/>
      <c r="C15" s="43"/>
      <c r="D15" s="43"/>
      <c r="E15" s="44" t="str">
        <f aca="false">IF(COUNT(C15:D15)=0,"",C15+(D15*0.5))</f>
        <v/>
      </c>
      <c r="F15" s="46"/>
      <c r="G15" s="54" t="str">
        <f aca="false">IF(B15="","",IF(B15="Spine",'Start Here'!$B$18,'Start Here'!$B$19))</f>
        <v/>
      </c>
      <c r="H15" s="45" t="str">
        <f aca="false">IF(OR(B15="",F15=""),"",IF(F15&gt;=G15,"Achieved","Below Goal"))</f>
        <v/>
      </c>
      <c r="I15" s="47"/>
      <c r="J15" s="47"/>
    </row>
    <row r="16" customFormat="false" ht="30" hidden="false" customHeight="true" outlineLevel="0" collapsed="false">
      <c r="A16" s="53"/>
      <c r="B16" s="43"/>
      <c r="C16" s="43"/>
      <c r="D16" s="43"/>
      <c r="E16" s="44" t="str">
        <f aca="false">IF(COUNT(C16:D16)=0,"",C16+(D16*0.5))</f>
        <v/>
      </c>
      <c r="F16" s="46"/>
      <c r="G16" s="54" t="str">
        <f aca="false">IF(B16="","",IF(B16="Spine",'Start Here'!$B$18,'Start Here'!$B$19))</f>
        <v/>
      </c>
      <c r="H16" s="45" t="str">
        <f aca="false">IF(OR(B16="",F16=""),"",IF(F16&gt;=G16,"Achieved","Below Goal"))</f>
        <v/>
      </c>
      <c r="I16" s="47"/>
      <c r="J16" s="47"/>
    </row>
    <row r="17" customFormat="false" ht="30" hidden="false" customHeight="true" outlineLevel="0" collapsed="false">
      <c r="A17" s="53"/>
      <c r="B17" s="43"/>
      <c r="C17" s="43"/>
      <c r="D17" s="43"/>
      <c r="E17" s="44" t="str">
        <f aca="false">IF(COUNT(C17:D17)=0,"",C17+(D17*0.5))</f>
        <v/>
      </c>
      <c r="F17" s="46"/>
      <c r="G17" s="54" t="str">
        <f aca="false">IF(B17="","",IF(B17="Spine",'Start Here'!$B$18,'Start Here'!$B$19))</f>
        <v/>
      </c>
      <c r="H17" s="45" t="str">
        <f aca="false">IF(OR(B17="",F17=""),"",IF(F17&gt;=G17,"Achieved","Below Goal"))</f>
        <v/>
      </c>
      <c r="I17" s="47"/>
      <c r="J17" s="47"/>
    </row>
    <row r="18" customFormat="false" ht="30" hidden="false" customHeight="true" outlineLevel="0" collapsed="false">
      <c r="A18" s="53"/>
      <c r="B18" s="43"/>
      <c r="C18" s="43"/>
      <c r="D18" s="43"/>
      <c r="E18" s="44" t="str">
        <f aca="false">IF(COUNT(C18:D18)=0,"",C18+(D18*0.5))</f>
        <v/>
      </c>
      <c r="F18" s="46"/>
      <c r="G18" s="54" t="str">
        <f aca="false">IF(B18="","",IF(B18="Spine",'Start Here'!$B$18,'Start Here'!$B$19))</f>
        <v/>
      </c>
      <c r="H18" s="45" t="str">
        <f aca="false">IF(OR(B18="",F18=""),"",IF(F18&gt;=G18,"Achieved","Below Goal"))</f>
        <v/>
      </c>
      <c r="I18" s="47"/>
      <c r="J18" s="47"/>
    </row>
    <row r="19" customFormat="false" ht="30" hidden="false" customHeight="true" outlineLevel="0" collapsed="false">
      <c r="A19" s="53"/>
      <c r="B19" s="43"/>
      <c r="C19" s="43"/>
      <c r="D19" s="43"/>
      <c r="E19" s="44" t="str">
        <f aca="false">IF(COUNT(C19:D19)=0,"",C19+(D19*0.5))</f>
        <v/>
      </c>
      <c r="F19" s="46"/>
      <c r="G19" s="54" t="str">
        <f aca="false">IF(B19="","",IF(B19="Spine",'Start Here'!$B$18,'Start Here'!$B$19))</f>
        <v/>
      </c>
      <c r="H19" s="45" t="str">
        <f aca="false">IF(OR(B19="",F19=""),"",IF(F19&gt;=G19,"Achieved","Below Goal"))</f>
        <v/>
      </c>
      <c r="I19" s="47"/>
      <c r="J19" s="47"/>
    </row>
    <row r="20" customFormat="false" ht="30" hidden="false" customHeight="true" outlineLevel="0" collapsed="false">
      <c r="A20" s="53"/>
      <c r="B20" s="43"/>
      <c r="C20" s="43"/>
      <c r="D20" s="43"/>
      <c r="E20" s="44" t="str">
        <f aca="false">IF(COUNT(C20:D20)=0,"",C20+(D20*0.5))</f>
        <v/>
      </c>
      <c r="F20" s="46"/>
      <c r="G20" s="54" t="str">
        <f aca="false">IF(B20="","",IF(B20="Spine",'Start Here'!$B$18,'Start Here'!$B$19))</f>
        <v/>
      </c>
      <c r="H20" s="45" t="str">
        <f aca="false">IF(OR(B20="",F20=""),"",IF(F20&gt;=G20,"Achieved","Below Goal"))</f>
        <v/>
      </c>
      <c r="I20" s="47"/>
      <c r="J20" s="47"/>
    </row>
    <row r="21" customFormat="false" ht="30" hidden="false" customHeight="true" outlineLevel="0" collapsed="false">
      <c r="A21" s="53"/>
      <c r="B21" s="43"/>
      <c r="C21" s="43"/>
      <c r="D21" s="43"/>
      <c r="E21" s="44" t="str">
        <f aca="false">IF(COUNT(C21:D21)=0,"",C21+(D21*0.5))</f>
        <v/>
      </c>
      <c r="F21" s="46"/>
      <c r="G21" s="54" t="str">
        <f aca="false">IF(B21="","",IF(B21="Spine",'Start Here'!$B$18,'Start Here'!$B$19))</f>
        <v/>
      </c>
      <c r="H21" s="45" t="str">
        <f aca="false">IF(OR(B21="",F21=""),"",IF(F21&gt;=G21,"Achieved","Below Goal"))</f>
        <v/>
      </c>
      <c r="I21" s="47"/>
      <c r="J21" s="47"/>
    </row>
    <row r="22" customFormat="false" ht="30" hidden="false" customHeight="true" outlineLevel="0" collapsed="false">
      <c r="A22" s="53"/>
      <c r="B22" s="43"/>
      <c r="C22" s="43"/>
      <c r="D22" s="43"/>
      <c r="E22" s="44" t="str">
        <f aca="false">IF(COUNT(C22:D22)=0,"",C22+(D22*0.5))</f>
        <v/>
      </c>
      <c r="F22" s="46"/>
      <c r="G22" s="54" t="str">
        <f aca="false">IF(B22="","",IF(B22="Spine",'Start Here'!$B$18,'Start Here'!$B$19))</f>
        <v/>
      </c>
      <c r="H22" s="45" t="str">
        <f aca="false">IF(OR(B22="",F22=""),"",IF(F22&gt;=G22,"Achieved","Below Goal"))</f>
        <v/>
      </c>
      <c r="I22" s="47"/>
      <c r="J22" s="47"/>
    </row>
    <row r="23" customFormat="false" ht="30" hidden="false" customHeight="true" outlineLevel="0" collapsed="false">
      <c r="A23" s="53"/>
      <c r="B23" s="43"/>
      <c r="C23" s="43"/>
      <c r="D23" s="43"/>
      <c r="E23" s="44" t="str">
        <f aca="false">IF(COUNT(C23:D23)=0,"",C23+(D23*0.5))</f>
        <v/>
      </c>
      <c r="F23" s="46"/>
      <c r="G23" s="54" t="str">
        <f aca="false">IF(B23="","",IF(B23="Spine",'Start Here'!$B$18,'Start Here'!$B$19))</f>
        <v/>
      </c>
      <c r="H23" s="45" t="str">
        <f aca="false">IF(OR(B23="",F23=""),"",IF(F23&gt;=G23,"Achieved","Below Goal"))</f>
        <v/>
      </c>
      <c r="I23" s="47"/>
      <c r="J23" s="47"/>
    </row>
    <row r="24" customFormat="false" ht="30" hidden="false" customHeight="true" outlineLevel="0" collapsed="false">
      <c r="A24" s="53"/>
      <c r="B24" s="43"/>
      <c r="C24" s="43"/>
      <c r="D24" s="43"/>
      <c r="E24" s="44" t="str">
        <f aca="false">IF(COUNT(C24:D24)=0,"",C24+(D24*0.5))</f>
        <v/>
      </c>
      <c r="F24" s="46"/>
      <c r="G24" s="54" t="str">
        <f aca="false">IF(B24="","",IF(B24="Spine",'Start Here'!$B$18,'Start Here'!$B$19))</f>
        <v/>
      </c>
      <c r="H24" s="45" t="str">
        <f aca="false">IF(OR(B24="",F24=""),"",IF(F24&gt;=G24,"Achieved","Below Goal"))</f>
        <v/>
      </c>
      <c r="I24" s="47"/>
      <c r="J24" s="47"/>
    </row>
    <row r="25" customFormat="false" ht="30" hidden="false" customHeight="true" outlineLevel="0" collapsed="false">
      <c r="A25" s="53"/>
      <c r="B25" s="43"/>
      <c r="C25" s="43"/>
      <c r="D25" s="43"/>
      <c r="E25" s="44" t="str">
        <f aca="false">IF(COUNT(C25:D25)=0,"",C25+(D25*0.5))</f>
        <v/>
      </c>
      <c r="F25" s="46"/>
      <c r="G25" s="54" t="str">
        <f aca="false">IF(B25="","",IF(B25="Spine",'Start Here'!$B$18,'Start Here'!$B$19))</f>
        <v/>
      </c>
      <c r="H25" s="45" t="str">
        <f aca="false">IF(OR(B25="",F25=""),"",IF(F25&gt;=G25,"Achieved","Below Goal"))</f>
        <v/>
      </c>
      <c r="I25" s="47"/>
      <c r="J25" s="47"/>
    </row>
    <row r="26" customFormat="false" ht="30" hidden="false" customHeight="true" outlineLevel="0" collapsed="false">
      <c r="A26" s="53"/>
      <c r="B26" s="43"/>
      <c r="C26" s="43"/>
      <c r="D26" s="43"/>
      <c r="E26" s="44" t="str">
        <f aca="false">IF(COUNT(C26:D26)=0,"",C26+(D26*0.5))</f>
        <v/>
      </c>
      <c r="F26" s="46"/>
      <c r="G26" s="54" t="str">
        <f aca="false">IF(B26="","",IF(B26="Spine",'Start Here'!$B$18,'Start Here'!$B$19))</f>
        <v/>
      </c>
      <c r="H26" s="45" t="str">
        <f aca="false">IF(OR(B26="",F26=""),"",IF(F26&gt;=G26,"Achieved","Below Goal"))</f>
        <v/>
      </c>
      <c r="I26" s="47"/>
      <c r="J26" s="47"/>
    </row>
    <row r="27" customFormat="false" ht="30" hidden="false" customHeight="true" outlineLevel="0" collapsed="false">
      <c r="A27" s="53"/>
      <c r="B27" s="43"/>
      <c r="C27" s="43"/>
      <c r="D27" s="43"/>
      <c r="E27" s="44" t="str">
        <f aca="false">IF(COUNT(C27:D27)=0,"",C27+(D27*0.5))</f>
        <v/>
      </c>
      <c r="F27" s="46"/>
      <c r="G27" s="54" t="str">
        <f aca="false">IF(B27="","",IF(B27="Spine",'Start Here'!$B$18,'Start Here'!$B$19))</f>
        <v/>
      </c>
      <c r="H27" s="45" t="str">
        <f aca="false">IF(OR(B27="",F27=""),"",IF(F27&gt;=G27,"Achieved","Below Goal"))</f>
        <v/>
      </c>
      <c r="I27" s="47"/>
      <c r="J27" s="47"/>
    </row>
    <row r="28" customFormat="false" ht="30" hidden="false" customHeight="true" outlineLevel="0" collapsed="false">
      <c r="A28" s="53"/>
      <c r="B28" s="43"/>
      <c r="C28" s="43"/>
      <c r="D28" s="43"/>
      <c r="E28" s="44" t="str">
        <f aca="false">IF(COUNT(C28:D28)=0,"",C28+(D28*0.5))</f>
        <v/>
      </c>
      <c r="F28" s="46"/>
      <c r="G28" s="54" t="str">
        <f aca="false">IF(B28="","",IF(B28="Spine",'Start Here'!$B$18,'Start Here'!$B$19))</f>
        <v/>
      </c>
      <c r="H28" s="45" t="str">
        <f aca="false">IF(OR(B28="",F28=""),"",IF(F28&gt;=G28,"Achieved","Below Goal"))</f>
        <v/>
      </c>
      <c r="I28" s="47"/>
      <c r="J28" s="47"/>
    </row>
    <row r="29" customFormat="false" ht="30" hidden="false" customHeight="true" outlineLevel="0" collapsed="false">
      <c r="A29" s="53"/>
      <c r="B29" s="43"/>
      <c r="C29" s="43"/>
      <c r="D29" s="43"/>
      <c r="E29" s="44" t="str">
        <f aca="false">IF(COUNT(C29:D29)=0,"",C29+(D29*0.5))</f>
        <v/>
      </c>
      <c r="F29" s="46"/>
      <c r="G29" s="54" t="str">
        <f aca="false">IF(B29="","",IF(B29="Spine",'Start Here'!$B$18,'Start Here'!$B$19))</f>
        <v/>
      </c>
      <c r="H29" s="45" t="str">
        <f aca="false">IF(OR(B29="",F29=""),"",IF(F29&gt;=G29,"Achieved","Below Goal"))</f>
        <v/>
      </c>
      <c r="I29" s="47"/>
      <c r="J29" s="47"/>
    </row>
    <row r="30" customFormat="false" ht="30" hidden="false" customHeight="true" outlineLevel="0" collapsed="false">
      <c r="A30" s="53"/>
      <c r="B30" s="43"/>
      <c r="C30" s="43"/>
      <c r="D30" s="43"/>
      <c r="E30" s="44" t="str">
        <f aca="false">IF(COUNT(C30:D30)=0,"",C30+(D30*0.5))</f>
        <v/>
      </c>
      <c r="F30" s="46"/>
      <c r="G30" s="54" t="str">
        <f aca="false">IF(B30="","",IF(B30="Spine",'Start Here'!$B$18,'Start Here'!$B$19))</f>
        <v/>
      </c>
      <c r="H30" s="45" t="str">
        <f aca="false">IF(OR(B30="",F30=""),"",IF(F30&gt;=G30,"Achieved","Below Goal"))</f>
        <v/>
      </c>
      <c r="I30" s="47"/>
      <c r="J30" s="47"/>
    </row>
  </sheetData>
  <mergeCells count="3">
    <mergeCell ref="A1:J1"/>
    <mergeCell ref="A2:J2"/>
    <mergeCell ref="A4:J4"/>
  </mergeCells>
  <conditionalFormatting sqref="H7:H30">
    <cfRule type="containsText" priority="2" operator="containsText" aboveAverage="0" equalAverage="0" bottom="0" percent="0" rank="0" text="Meets" dxfId="7">
      <formula>NOT(ISERROR(SEARCH("Meets",H7)))</formula>
    </cfRule>
    <cfRule type="containsText" priority="3" operator="containsText" aboveAverage="0" equalAverage="0" bottom="0" percent="0" rank="0" text="Achieved" dxfId="7">
      <formula>NOT(ISERROR(SEARCH("Achieved",H7)))</formula>
    </cfRule>
    <cfRule type="containsText" priority="4" operator="containsText" aboveAverage="0" equalAverage="0" bottom="0" percent="0" rank="0" text="No Gap" dxfId="7">
      <formula>NOT(ISERROR(SEARCH("No Gap",H7)))</formula>
    </cfRule>
    <cfRule type="containsText" priority="5" operator="containsText" aboveAverage="0" equalAverage="0" bottom="0" percent="0" rank="0" text="Exception" dxfId="8">
      <formula>NOT(ISERROR(SEARCH("Exception",H7)))</formula>
    </cfRule>
    <cfRule type="containsText" priority="6" operator="containsText" aboveAverage="0" equalAverage="0" bottom="0" percent="0" rank="0" text="Review" dxfId="8">
      <formula>NOT(ISERROR(SEARCH("Review",H7)))</formula>
    </cfRule>
    <cfRule type="containsText" priority="7" operator="containsText" aboveAverage="0" equalAverage="0" bottom="0" percent="0" rank="0" text="Below" dxfId="9">
      <formula>NOT(ISERROR(SEARCH("Below",H7)))</formula>
    </cfRule>
    <cfRule type="containsText" priority="8" operator="containsText" aboveAverage="0" equalAverage="0" bottom="0" percent="0" rank="0" text="Action Required" dxfId="9">
      <formula>NOT(ISERROR(SEARCH("Action Required",H7)))</formula>
    </cfRule>
    <cfRule type="containsText" priority="9" operator="containsText" aboveAverage="0" equalAverage="0" bottom="0" percent="0" rank="0" text="Not Started" dxfId="10">
      <formula>NOT(ISERROR(SEARCH("Not Started",H7)))</formula>
    </cfRule>
  </conditionalFormatting>
  <dataValidations count="4">
    <dataValidation allowBlank="true" error="Enter exactly &quot;Spine&quot; or &quot;Ortho&quot;." errorStyle="stop" errorTitle="Pick from the list" operator="between" prompt="Spine or Ortho." promptTitle="Service line" showDropDown="false" showErrorMessage="true" showInputMessage="true" sqref="B7:B30" type="list">
      <formula1>"Spine,Ortho"</formula1>
      <formula2>0</formula2>
    </dataValidation>
    <dataValidation allowBlank="true" error="Enter a number between 0 and 60." errorStyle="stop" errorTitle="Check this entry" operator="between" prompt="Full clinic days that week - each counts 1.0." promptTitle="Full clinic days" showDropDown="false" showErrorMessage="true" showInputMessage="true" sqref="C7:C30" type="decimal">
      <formula1>0</formula1>
      <formula2>60</formula2>
    </dataValidation>
    <dataValidation allowBlank="true" error="Enter a number between 0 and 60." errorStyle="stop" errorTitle="Check this entry" operator="between" prompt="Half-days that week - each counts 0.5 toward the total." promptTitle="Half-days" showDropDown="false" showErrorMessage="true" showInputMessage="true" sqref="D7:D30" type="decimal">
      <formula1>0</formula1>
      <formula2>60</formula2>
    </dataValidation>
    <dataValidation allowBlank="true" error="Enter a number between 0 and 1000." errorStyle="stop" errorTitle="Check this entry" operator="between" prompt="New patients for that service line that week." promptTitle="New patients" showDropDown="false" showErrorMessage="true" showInputMessage="true" sqref="F7:F30" type="whole">
      <formula1>0</formula1>
      <formula2>1000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66534"/>
    <pageSetUpPr fitToPage="true"/>
  </sheetPr>
  <dimension ref="A1:H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10.76953125" defaultRowHeight="15" zeroHeight="false" outlineLevelRow="0" outlineLevelCol="0"/>
  <cols>
    <col min="1" max="1" width="17" customWidth="1"/>
    <col min="2" max="2" width="17" customWidth="1"/>
    <col min="3" max="3" width="17" customWidth="1"/>
    <col min="4" max="4" width="17" customWidth="1"/>
    <col min="5" max="5" width="17" customWidth="1"/>
    <col min="6" max="6" width="17" customWidth="1"/>
    <col min="7" max="7" width="17" customWidth="1"/>
    <col min="8" max="8" width="17" customWidth="1"/>
  </cols>
  <sheetData>
    <row r="1" customFormat="false" ht="33.75" hidden="false" customHeight="true" outlineLevel="0" collapsed="false">
      <c r="A1" s="1" t="s">
        <v>162</v>
      </c>
      <c r="B1" s="1"/>
      <c r="C1" s="1"/>
      <c r="D1" s="1"/>
      <c r="E1" s="1"/>
      <c r="F1" s="1"/>
      <c r="G1" s="1"/>
      <c r="H1" s="1"/>
    </row>
    <row r="2" customFormat="false" ht="15" hidden="false" customHeight="true" outlineLevel="0" collapsed="false">
      <c r="A2" s="55" t="s">
        <v>163</v>
      </c>
      <c r="B2" s="55"/>
      <c r="C2" s="55"/>
      <c r="D2" s="55"/>
      <c r="E2" s="55"/>
      <c r="F2" s="55"/>
      <c r="G2" s="55"/>
      <c r="H2" s="55"/>
    </row>
    <row r="3" customFormat="false" ht="15" hidden="false" customHeight="true" outlineLevel="0" collapsed="false">
      <c r="A3" s="32"/>
      <c r="B3" s="32"/>
      <c r="C3" s="32"/>
      <c r="D3" s="32"/>
      <c r="E3" s="32"/>
      <c r="F3" s="32"/>
      <c r="G3" s="32"/>
      <c r="H3" s="32"/>
    </row>
    <row r="4" customFormat="false" ht="36" hidden="false" customHeight="true" outlineLevel="0" collapsed="false">
      <c r="A4" s="33" t="s">
        <v>164</v>
      </c>
      <c r="B4" s="33" t="s">
        <v>165</v>
      </c>
      <c r="C4" s="33" t="s">
        <v>166</v>
      </c>
      <c r="D4" s="33" t="s">
        <v>167</v>
      </c>
      <c r="E4" s="33" t="s">
        <v>168</v>
      </c>
      <c r="F4" s="33" t="s">
        <v>169</v>
      </c>
      <c r="G4" s="33" t="s">
        <v>170</v>
      </c>
      <c r="H4" s="33" t="s">
        <v>171</v>
      </c>
    </row>
    <row r="5" customFormat="false" ht="33.75" hidden="false" customHeight="true" outlineLevel="0" collapsed="false">
      <c r="A5" s="56" t="n">
        <f aca="false">COUNTIF('Weekly Audit'!$H$7:$H$22,"Below Floor")</f>
        <v>0</v>
      </c>
      <c r="B5" s="56" t="n">
        <f aca="false">COUNTIF('Weekly Audit'!$H$7:$H$22,"Exception")</f>
        <v>0</v>
      </c>
      <c r="C5" s="56" t="n">
        <f aca="false">COUNTIF('Weekly Audit'!$N$7:$N$22,"Below Minimum")+COUNTIF('Weekly Audit'!$N$7:$N$22,"Review PTO")</f>
        <v>0</v>
      </c>
      <c r="D5" s="56" t="n">
        <f aca="false">COUNTIF('Weekly Audit'!$W$7:$W$22,"Action Required")</f>
        <v>0</v>
      </c>
      <c r="E5" s="56" t="n">
        <f aca="false">COUNTIFS('Historical Benchmarks'!$B$7:$B$30,"Spine",'Historical Benchmarks'!$H$7:$H$30,"Achieved")</f>
        <v>0</v>
      </c>
      <c r="F5" s="57" t="str">
        <f aca="false">IF(E5=0,"",SUMIFS('Historical Benchmarks'!$E$7:$E$30,'Historical Benchmarks'!$B$7:$B$30,"Spine",'Historical Benchmarks'!$H$7:$H$30,"Achieved")/E5)</f>
        <v/>
      </c>
      <c r="G5" s="56" t="n">
        <f aca="false">COUNTIFS('Historical Benchmarks'!$B$7:$B$30,"Ortho",'Historical Benchmarks'!$H$7:$H$30,"Achieved")</f>
        <v>0</v>
      </c>
      <c r="H5" s="57" t="str">
        <f aca="false">IF(G5=0,"",SUMIFS('Historical Benchmarks'!$E$7:$E$30,'Historical Benchmarks'!$B$7:$B$30,"Ortho",'Historical Benchmarks'!$H$7:$H$30,"Achieved")/G5)</f>
        <v/>
      </c>
    </row>
    <row r="6" customFormat="false" ht="15" hidden="false" customHeight="true" outlineLevel="0" collapsed="false">
      <c r="A6" s="32"/>
      <c r="B6" s="32"/>
      <c r="C6" s="32"/>
      <c r="D6" s="32"/>
      <c r="E6" s="32"/>
      <c r="F6" s="32"/>
      <c r="G6" s="32"/>
      <c r="H6" s="32"/>
    </row>
    <row r="7" customFormat="false" ht="22.5" hidden="false" customHeight="true" outlineLevel="0" collapsed="false">
      <c r="A7" s="4" t="s">
        <v>172</v>
      </c>
      <c r="B7" s="4"/>
      <c r="C7" s="4"/>
      <c r="D7" s="4"/>
      <c r="E7" s="4"/>
      <c r="F7" s="4"/>
      <c r="G7" s="4"/>
      <c r="H7" s="4"/>
    </row>
    <row r="8" customFormat="false" ht="36" hidden="false" customHeight="true" outlineLevel="0" collapsed="false">
      <c r="A8" s="33" t="s">
        <v>128</v>
      </c>
      <c r="B8" s="33" t="s">
        <v>173</v>
      </c>
      <c r="C8" s="33" t="s">
        <v>134</v>
      </c>
      <c r="D8" s="33" t="s">
        <v>174</v>
      </c>
      <c r="E8" s="33" t="s">
        <v>139</v>
      </c>
      <c r="F8" s="33" t="s">
        <v>140</v>
      </c>
      <c r="G8" s="33" t="s">
        <v>175</v>
      </c>
      <c r="H8" s="33" t="s">
        <v>176</v>
      </c>
    </row>
    <row r="9" customFormat="false" ht="24" hidden="false" customHeight="true" outlineLevel="0" collapsed="false">
      <c r="A9" s="58" t="n">
        <f aca="false">'Weekly Audit'!B7</f>
        <v>46244</v>
      </c>
      <c r="B9" s="59" t="str">
        <f aca="false">IF('Weekly Audit'!F7="","",'Weekly Audit'!F7)</f>
        <v/>
      </c>
      <c r="C9" s="60" t="str">
        <f aca="false">'Weekly Audit'!H7</f>
        <v>Not Started</v>
      </c>
      <c r="D9" s="59" t="str">
        <f aca="false">IF('Weekly Audit'!K7="","",'Weekly Audit'!K7)</f>
        <v/>
      </c>
      <c r="E9" s="59" t="str">
        <f aca="false">IF('Weekly Audit'!M7="","",'Weekly Audit'!M7)</f>
        <v/>
      </c>
      <c r="F9" s="60" t="str">
        <f aca="false">'Weekly Audit'!N7</f>
        <v>Not Started</v>
      </c>
      <c r="G9" s="61" t="str">
        <f aca="false">IF('Weekly Audit'!O7="","",'Weekly Audit'!O7)</f>
        <v/>
      </c>
      <c r="H9" s="61" t="str">
        <f aca="false">IF('Weekly Audit'!Q7="","",'Weekly Audit'!Q7)</f>
        <v/>
      </c>
    </row>
    <row r="10" customFormat="false" ht="24" hidden="false" customHeight="true" outlineLevel="0" collapsed="false">
      <c r="A10" s="62" t="n">
        <f aca="false">'Weekly Audit'!B8</f>
        <v>46251</v>
      </c>
      <c r="B10" s="63" t="str">
        <f aca="false">IF('Weekly Audit'!F8="","",'Weekly Audit'!F8)</f>
        <v/>
      </c>
      <c r="C10" s="64" t="str">
        <f aca="false">'Weekly Audit'!H8</f>
        <v>Not Started</v>
      </c>
      <c r="D10" s="63" t="str">
        <f aca="false">IF('Weekly Audit'!K8="","",'Weekly Audit'!K8)</f>
        <v/>
      </c>
      <c r="E10" s="63" t="str">
        <f aca="false">IF('Weekly Audit'!M8="","",'Weekly Audit'!M8)</f>
        <v/>
      </c>
      <c r="F10" s="64" t="str">
        <f aca="false">'Weekly Audit'!N8</f>
        <v>Not Started</v>
      </c>
      <c r="G10" s="65" t="str">
        <f aca="false">IF('Weekly Audit'!O8="","",'Weekly Audit'!O8)</f>
        <v/>
      </c>
      <c r="H10" s="65" t="str">
        <f aca="false">IF('Weekly Audit'!Q8="","",'Weekly Audit'!Q8)</f>
        <v/>
      </c>
    </row>
    <row r="11" customFormat="false" ht="24" hidden="false" customHeight="true" outlineLevel="0" collapsed="false">
      <c r="A11" s="62" t="n">
        <f aca="false">'Weekly Audit'!B9</f>
        <v>46258</v>
      </c>
      <c r="B11" s="63" t="str">
        <f aca="false">IF('Weekly Audit'!F9="","",'Weekly Audit'!F9)</f>
        <v/>
      </c>
      <c r="C11" s="64" t="str">
        <f aca="false">'Weekly Audit'!H9</f>
        <v>Not Started</v>
      </c>
      <c r="D11" s="63" t="str">
        <f aca="false">IF('Weekly Audit'!K9="","",'Weekly Audit'!K9)</f>
        <v/>
      </c>
      <c r="E11" s="63" t="str">
        <f aca="false">IF('Weekly Audit'!M9="","",'Weekly Audit'!M9)</f>
        <v/>
      </c>
      <c r="F11" s="64" t="str">
        <f aca="false">'Weekly Audit'!N9</f>
        <v>Not Started</v>
      </c>
      <c r="G11" s="65" t="str">
        <f aca="false">IF('Weekly Audit'!O9="","",'Weekly Audit'!O9)</f>
        <v/>
      </c>
      <c r="H11" s="65" t="str">
        <f aca="false">IF('Weekly Audit'!Q9="","",'Weekly Audit'!Q9)</f>
        <v/>
      </c>
    </row>
    <row r="12" customFormat="false" ht="24" hidden="false" customHeight="true" outlineLevel="0" collapsed="false">
      <c r="A12" s="62" t="n">
        <f aca="false">'Weekly Audit'!B10</f>
        <v>46265</v>
      </c>
      <c r="B12" s="63" t="str">
        <f aca="false">IF('Weekly Audit'!F10="","",'Weekly Audit'!F10)</f>
        <v/>
      </c>
      <c r="C12" s="64" t="str">
        <f aca="false">'Weekly Audit'!H10</f>
        <v>Not Started</v>
      </c>
      <c r="D12" s="63" t="str">
        <f aca="false">IF('Weekly Audit'!K10="","",'Weekly Audit'!K10)</f>
        <v/>
      </c>
      <c r="E12" s="63" t="str">
        <f aca="false">IF('Weekly Audit'!M10="","",'Weekly Audit'!M10)</f>
        <v/>
      </c>
      <c r="F12" s="64" t="str">
        <f aca="false">'Weekly Audit'!N10</f>
        <v>Not Started</v>
      </c>
      <c r="G12" s="65" t="str">
        <f aca="false">IF('Weekly Audit'!O10="","",'Weekly Audit'!O10)</f>
        <v/>
      </c>
      <c r="H12" s="65" t="str">
        <f aca="false">IF('Weekly Audit'!Q10="","",'Weekly Audit'!Q10)</f>
        <v/>
      </c>
    </row>
    <row r="13" customFormat="false" ht="24" hidden="false" customHeight="true" outlineLevel="0" collapsed="false">
      <c r="A13" s="66" t="n">
        <f aca="false">'Weekly Audit'!B11</f>
        <v>46272</v>
      </c>
      <c r="B13" s="67" t="str">
        <f aca="false">IF('Weekly Audit'!F11="","",'Weekly Audit'!F11)</f>
        <v/>
      </c>
      <c r="C13" s="68" t="str">
        <f aca="false">'Weekly Audit'!H11</f>
        <v>Not Started</v>
      </c>
      <c r="D13" s="67" t="str">
        <f aca="false">IF('Weekly Audit'!K11="","",'Weekly Audit'!K11)</f>
        <v/>
      </c>
      <c r="E13" s="67" t="str">
        <f aca="false">IF('Weekly Audit'!M11="","",'Weekly Audit'!M11)</f>
        <v/>
      </c>
      <c r="F13" s="68" t="str">
        <f aca="false">'Weekly Audit'!N11</f>
        <v>Not Started</v>
      </c>
      <c r="G13" s="69" t="str">
        <f aca="false">IF('Weekly Audit'!O11="","",'Weekly Audit'!O11)</f>
        <v/>
      </c>
      <c r="H13" s="69" t="str">
        <f aca="false">IF('Weekly Audit'!Q11="","",'Weekly Audit'!Q11)</f>
        <v/>
      </c>
    </row>
    <row r="14" customFormat="false" ht="24" hidden="false" customHeight="true" outlineLevel="0" collapsed="false">
      <c r="A14" s="66" t="n">
        <f aca="false">'Weekly Audit'!B12</f>
        <v>46279</v>
      </c>
      <c r="B14" s="67" t="str">
        <f aca="false">IF('Weekly Audit'!F12="","",'Weekly Audit'!F12)</f>
        <v/>
      </c>
      <c r="C14" s="68" t="str">
        <f aca="false">'Weekly Audit'!H12</f>
        <v>Not Started</v>
      </c>
      <c r="D14" s="67" t="str">
        <f aca="false">IF('Weekly Audit'!K12="","",'Weekly Audit'!K12)</f>
        <v/>
      </c>
      <c r="E14" s="67" t="str">
        <f aca="false">IF('Weekly Audit'!M12="","",'Weekly Audit'!M12)</f>
        <v/>
      </c>
      <c r="F14" s="68" t="str">
        <f aca="false">'Weekly Audit'!N12</f>
        <v>Not Started</v>
      </c>
      <c r="G14" s="69" t="str">
        <f aca="false">IF('Weekly Audit'!O12="","",'Weekly Audit'!O12)</f>
        <v/>
      </c>
      <c r="H14" s="69" t="str">
        <f aca="false">IF('Weekly Audit'!Q12="","",'Weekly Audit'!Q12)</f>
        <v/>
      </c>
    </row>
    <row r="15" customFormat="false" ht="24" hidden="false" customHeight="true" outlineLevel="0" collapsed="false">
      <c r="A15" s="66" t="n">
        <f aca="false">'Weekly Audit'!B13</f>
        <v>46286</v>
      </c>
      <c r="B15" s="67" t="str">
        <f aca="false">IF('Weekly Audit'!F13="","",'Weekly Audit'!F13)</f>
        <v/>
      </c>
      <c r="C15" s="68" t="str">
        <f aca="false">'Weekly Audit'!H13</f>
        <v>Not Started</v>
      </c>
      <c r="D15" s="67" t="str">
        <f aca="false">IF('Weekly Audit'!K13="","",'Weekly Audit'!K13)</f>
        <v/>
      </c>
      <c r="E15" s="67" t="str">
        <f aca="false">IF('Weekly Audit'!M13="","",'Weekly Audit'!M13)</f>
        <v/>
      </c>
      <c r="F15" s="68" t="str">
        <f aca="false">'Weekly Audit'!N13</f>
        <v>Not Started</v>
      </c>
      <c r="G15" s="69" t="str">
        <f aca="false">IF('Weekly Audit'!O13="","",'Weekly Audit'!O13)</f>
        <v/>
      </c>
      <c r="H15" s="69" t="str">
        <f aca="false">IF('Weekly Audit'!Q13="","",'Weekly Audit'!Q13)</f>
        <v/>
      </c>
    </row>
    <row r="16" customFormat="false" ht="24" hidden="false" customHeight="true" outlineLevel="0" collapsed="false">
      <c r="A16" s="66" t="n">
        <f aca="false">'Weekly Audit'!B14</f>
        <v>46293</v>
      </c>
      <c r="B16" s="67" t="str">
        <f aca="false">IF('Weekly Audit'!F14="","",'Weekly Audit'!F14)</f>
        <v/>
      </c>
      <c r="C16" s="68" t="str">
        <f aca="false">'Weekly Audit'!H14</f>
        <v>Not Started</v>
      </c>
      <c r="D16" s="67" t="str">
        <f aca="false">IF('Weekly Audit'!K14="","",'Weekly Audit'!K14)</f>
        <v/>
      </c>
      <c r="E16" s="67" t="str">
        <f aca="false">IF('Weekly Audit'!M14="","",'Weekly Audit'!M14)</f>
        <v/>
      </c>
      <c r="F16" s="68" t="str">
        <f aca="false">'Weekly Audit'!N14</f>
        <v>Not Started</v>
      </c>
      <c r="G16" s="69" t="str">
        <f aca="false">IF('Weekly Audit'!O14="","",'Weekly Audit'!O14)</f>
        <v/>
      </c>
      <c r="H16" s="69" t="str">
        <f aca="false">IF('Weekly Audit'!Q14="","",'Weekly Audit'!Q14)</f>
        <v/>
      </c>
    </row>
    <row r="17" customFormat="false" ht="24" hidden="false" customHeight="true" outlineLevel="0" collapsed="false">
      <c r="A17" s="66" t="n">
        <f aca="false">'Weekly Audit'!B15</f>
        <v>46300</v>
      </c>
      <c r="B17" s="67" t="str">
        <f aca="false">IF('Weekly Audit'!F15="","",'Weekly Audit'!F15)</f>
        <v/>
      </c>
      <c r="C17" s="68" t="str">
        <f aca="false">'Weekly Audit'!H15</f>
        <v>Not Started</v>
      </c>
      <c r="D17" s="67" t="str">
        <f aca="false">IF('Weekly Audit'!K15="","",'Weekly Audit'!K15)</f>
        <v/>
      </c>
      <c r="E17" s="67" t="str">
        <f aca="false">IF('Weekly Audit'!M15="","",'Weekly Audit'!M15)</f>
        <v/>
      </c>
      <c r="F17" s="68" t="str">
        <f aca="false">'Weekly Audit'!N15</f>
        <v>Not Started</v>
      </c>
      <c r="G17" s="69" t="str">
        <f aca="false">IF('Weekly Audit'!O15="","",'Weekly Audit'!O15)</f>
        <v/>
      </c>
      <c r="H17" s="69" t="str">
        <f aca="false">IF('Weekly Audit'!Q15="","",'Weekly Audit'!Q15)</f>
        <v/>
      </c>
    </row>
    <row r="18" customFormat="false" ht="24" hidden="false" customHeight="true" outlineLevel="0" collapsed="false">
      <c r="A18" s="66" t="n">
        <f aca="false">'Weekly Audit'!B16</f>
        <v>46307</v>
      </c>
      <c r="B18" s="67" t="str">
        <f aca="false">IF('Weekly Audit'!F16="","",'Weekly Audit'!F16)</f>
        <v/>
      </c>
      <c r="C18" s="68" t="str">
        <f aca="false">'Weekly Audit'!H16</f>
        <v>Not Started</v>
      </c>
      <c r="D18" s="67" t="str">
        <f aca="false">IF('Weekly Audit'!K16="","",'Weekly Audit'!K16)</f>
        <v/>
      </c>
      <c r="E18" s="67" t="str">
        <f aca="false">IF('Weekly Audit'!M16="","",'Weekly Audit'!M16)</f>
        <v/>
      </c>
      <c r="F18" s="68" t="str">
        <f aca="false">'Weekly Audit'!N16</f>
        <v>Not Started</v>
      </c>
      <c r="G18" s="69" t="str">
        <f aca="false">IF('Weekly Audit'!O16="","",'Weekly Audit'!O16)</f>
        <v/>
      </c>
      <c r="H18" s="69" t="str">
        <f aca="false">IF('Weekly Audit'!Q16="","",'Weekly Audit'!Q16)</f>
        <v/>
      </c>
    </row>
    <row r="19" customFormat="false" ht="24" hidden="false" customHeight="true" outlineLevel="0" collapsed="false">
      <c r="A19" s="66" t="n">
        <f aca="false">'Weekly Audit'!B17</f>
        <v>46314</v>
      </c>
      <c r="B19" s="67" t="str">
        <f aca="false">IF('Weekly Audit'!F17="","",'Weekly Audit'!F17)</f>
        <v/>
      </c>
      <c r="C19" s="68" t="str">
        <f aca="false">'Weekly Audit'!H17</f>
        <v>Not Started</v>
      </c>
      <c r="D19" s="67" t="str">
        <f aca="false">IF('Weekly Audit'!K17="","",'Weekly Audit'!K17)</f>
        <v/>
      </c>
      <c r="E19" s="67" t="str">
        <f aca="false">IF('Weekly Audit'!M17="","",'Weekly Audit'!M17)</f>
        <v/>
      </c>
      <c r="F19" s="68" t="str">
        <f aca="false">'Weekly Audit'!N17</f>
        <v>Not Started</v>
      </c>
      <c r="G19" s="69" t="str">
        <f aca="false">IF('Weekly Audit'!O17="","",'Weekly Audit'!O17)</f>
        <v/>
      </c>
      <c r="H19" s="69" t="str">
        <f aca="false">IF('Weekly Audit'!Q17="","",'Weekly Audit'!Q17)</f>
        <v/>
      </c>
    </row>
    <row r="20" customFormat="false" ht="24" hidden="false" customHeight="true" outlineLevel="0" collapsed="false">
      <c r="A20" s="66" t="n">
        <f aca="false">'Weekly Audit'!B18</f>
        <v>46321</v>
      </c>
      <c r="B20" s="67" t="str">
        <f aca="false">IF('Weekly Audit'!F18="","",'Weekly Audit'!F18)</f>
        <v/>
      </c>
      <c r="C20" s="68" t="str">
        <f aca="false">'Weekly Audit'!H18</f>
        <v>Not Started</v>
      </c>
      <c r="D20" s="67" t="str">
        <f aca="false">IF('Weekly Audit'!K18="","",'Weekly Audit'!K18)</f>
        <v/>
      </c>
      <c r="E20" s="67" t="str">
        <f aca="false">IF('Weekly Audit'!M18="","",'Weekly Audit'!M18)</f>
        <v/>
      </c>
      <c r="F20" s="68" t="str">
        <f aca="false">'Weekly Audit'!N18</f>
        <v>Not Started</v>
      </c>
      <c r="G20" s="69" t="str">
        <f aca="false">IF('Weekly Audit'!O18="","",'Weekly Audit'!O18)</f>
        <v/>
      </c>
      <c r="H20" s="69" t="str">
        <f aca="false">IF('Weekly Audit'!Q18="","",'Weekly Audit'!Q18)</f>
        <v/>
      </c>
    </row>
    <row r="21" customFormat="false" ht="24" hidden="false" customHeight="true" outlineLevel="0" collapsed="false">
      <c r="A21" s="66" t="n">
        <f aca="false">'Weekly Audit'!B19</f>
        <v>46328</v>
      </c>
      <c r="B21" s="67" t="str">
        <f aca="false">IF('Weekly Audit'!F19="","",'Weekly Audit'!F19)</f>
        <v/>
      </c>
      <c r="C21" s="68" t="str">
        <f aca="false">'Weekly Audit'!H19</f>
        <v>Not Started</v>
      </c>
      <c r="D21" s="67" t="str">
        <f aca="false">IF('Weekly Audit'!K19="","",'Weekly Audit'!K19)</f>
        <v/>
      </c>
      <c r="E21" s="67" t="str">
        <f aca="false">IF('Weekly Audit'!M19="","",'Weekly Audit'!M19)</f>
        <v/>
      </c>
      <c r="F21" s="68" t="str">
        <f aca="false">'Weekly Audit'!N19</f>
        <v>Not Started</v>
      </c>
      <c r="G21" s="69" t="str">
        <f aca="false">IF('Weekly Audit'!O19="","",'Weekly Audit'!O19)</f>
        <v/>
      </c>
      <c r="H21" s="69" t="str">
        <f aca="false">IF('Weekly Audit'!Q19="","",'Weekly Audit'!Q19)</f>
        <v/>
      </c>
    </row>
    <row r="22" customFormat="false" ht="24" hidden="false" customHeight="true" outlineLevel="0" collapsed="false">
      <c r="A22" s="66" t="n">
        <f aca="false">'Weekly Audit'!B20</f>
        <v>46335</v>
      </c>
      <c r="B22" s="67" t="str">
        <f aca="false">IF('Weekly Audit'!F20="","",'Weekly Audit'!F20)</f>
        <v/>
      </c>
      <c r="C22" s="68" t="str">
        <f aca="false">'Weekly Audit'!H20</f>
        <v>Not Started</v>
      </c>
      <c r="D22" s="67" t="str">
        <f aca="false">IF('Weekly Audit'!K20="","",'Weekly Audit'!K20)</f>
        <v/>
      </c>
      <c r="E22" s="67" t="str">
        <f aca="false">IF('Weekly Audit'!M20="","",'Weekly Audit'!M20)</f>
        <v/>
      </c>
      <c r="F22" s="68" t="str">
        <f aca="false">'Weekly Audit'!N20</f>
        <v>Not Started</v>
      </c>
      <c r="G22" s="69" t="str">
        <f aca="false">IF('Weekly Audit'!O20="","",'Weekly Audit'!O20)</f>
        <v/>
      </c>
      <c r="H22" s="69" t="str">
        <f aca="false">IF('Weekly Audit'!Q20="","",'Weekly Audit'!Q20)</f>
        <v/>
      </c>
    </row>
    <row r="23" customFormat="false" ht="24" hidden="false" customHeight="true" outlineLevel="0" collapsed="false">
      <c r="A23" s="66" t="n">
        <f aca="false">'Weekly Audit'!B21</f>
        <v>46342</v>
      </c>
      <c r="B23" s="67" t="str">
        <f aca="false">IF('Weekly Audit'!F21="","",'Weekly Audit'!F21)</f>
        <v/>
      </c>
      <c r="C23" s="68" t="str">
        <f aca="false">'Weekly Audit'!H21</f>
        <v>Not Started</v>
      </c>
      <c r="D23" s="67" t="str">
        <f aca="false">IF('Weekly Audit'!K21="","",'Weekly Audit'!K21)</f>
        <v/>
      </c>
      <c r="E23" s="67" t="str">
        <f aca="false">IF('Weekly Audit'!M21="","",'Weekly Audit'!M21)</f>
        <v/>
      </c>
      <c r="F23" s="68" t="str">
        <f aca="false">'Weekly Audit'!N21</f>
        <v>Not Started</v>
      </c>
      <c r="G23" s="69" t="str">
        <f aca="false">IF('Weekly Audit'!O21="","",'Weekly Audit'!O21)</f>
        <v/>
      </c>
      <c r="H23" s="69" t="str">
        <f aca="false">IF('Weekly Audit'!Q21="","",'Weekly Audit'!Q21)</f>
        <v/>
      </c>
    </row>
    <row r="24" customFormat="false" ht="24" hidden="false" customHeight="true" outlineLevel="0" collapsed="false">
      <c r="A24" s="66" t="n">
        <f aca="false">'Weekly Audit'!B22</f>
        <v>46349</v>
      </c>
      <c r="B24" s="67" t="str">
        <f aca="false">IF('Weekly Audit'!F22="","",'Weekly Audit'!F22)</f>
        <v/>
      </c>
      <c r="C24" s="68" t="str">
        <f aca="false">'Weekly Audit'!H22</f>
        <v>Not Started</v>
      </c>
      <c r="D24" s="67" t="str">
        <f aca="false">IF('Weekly Audit'!K22="","",'Weekly Audit'!K22)</f>
        <v/>
      </c>
      <c r="E24" s="67" t="str">
        <f aca="false">IF('Weekly Audit'!M22="","",'Weekly Audit'!M22)</f>
        <v/>
      </c>
      <c r="F24" s="68" t="str">
        <f aca="false">'Weekly Audit'!N22</f>
        <v>Not Started</v>
      </c>
      <c r="G24" s="69" t="str">
        <f aca="false">IF('Weekly Audit'!O22="","",'Weekly Audit'!O22)</f>
        <v/>
      </c>
      <c r="H24" s="69" t="str">
        <f aca="false">IF('Weekly Audit'!Q22="","",'Weekly Audit'!Q22)</f>
        <v/>
      </c>
    </row>
    <row r="25" customFormat="false" ht="18" hidden="false" customHeight="true" outlineLevel="0" collapsed="false">
      <c r="A25" s="70" t="s">
        <v>177</v>
      </c>
      <c r="B25" s="70"/>
      <c r="C25" s="70"/>
      <c r="D25" s="70"/>
      <c r="E25" s="70"/>
      <c r="F25" s="70"/>
      <c r="G25" s="70"/>
      <c r="H25" s="70"/>
    </row>
    <row r="26" customFormat="false" ht="22.5" hidden="false" customHeight="true" outlineLevel="0" collapsed="false">
      <c r="A26" s="4" t="s">
        <v>178</v>
      </c>
      <c r="B26" s="4"/>
      <c r="C26" s="4"/>
      <c r="D26" s="4"/>
      <c r="E26" s="4"/>
      <c r="F26" s="4"/>
      <c r="G26" s="4"/>
      <c r="H26" s="4"/>
    </row>
    <row r="27" customFormat="false" ht="30" hidden="false" customHeight="true" outlineLevel="0" collapsed="false">
      <c r="A27" s="9" t="s">
        <v>179</v>
      </c>
      <c r="B27" s="9"/>
      <c r="C27" s="9"/>
      <c r="D27" s="9"/>
      <c r="E27" s="9"/>
      <c r="F27" s="9"/>
      <c r="G27" s="9"/>
      <c r="H27" s="9"/>
    </row>
    <row r="28" customFormat="false" ht="30" hidden="false" customHeight="true" outlineLevel="0" collapsed="false">
      <c r="A28" s="9"/>
      <c r="B28" s="9"/>
      <c r="C28" s="9"/>
      <c r="D28" s="9"/>
      <c r="E28" s="9"/>
      <c r="F28" s="9"/>
      <c r="G28" s="9"/>
      <c r="H28" s="9"/>
    </row>
    <row r="29" customFormat="false" ht="30" hidden="false" customHeight="true" outlineLevel="0" collapsed="false">
      <c r="A29" s="9"/>
      <c r="B29" s="9"/>
      <c r="C29" s="9"/>
      <c r="D29" s="9"/>
      <c r="E29" s="9"/>
      <c r="F29" s="9"/>
      <c r="G29" s="9"/>
      <c r="H29" s="9"/>
    </row>
  </sheetData>
  <mergeCells count="6">
    <mergeCell ref="A1:H1"/>
    <mergeCell ref="A2:H2"/>
    <mergeCell ref="A7:H7"/>
    <mergeCell ref="A25:H25"/>
    <mergeCell ref="A26:H26"/>
    <mergeCell ref="A27:H29"/>
  </mergeCells>
  <conditionalFormatting sqref="C9:C24">
    <cfRule type="containsText" priority="2" operator="containsText" aboveAverage="0" equalAverage="0" bottom="0" percent="0" rank="0" text="Meets" dxfId="7">
      <formula>NOT(ISERROR(SEARCH("Meets",C9)))</formula>
    </cfRule>
    <cfRule type="containsText" priority="3" operator="containsText" aboveAverage="0" equalAverage="0" bottom="0" percent="0" rank="0" text="Achieved" dxfId="7">
      <formula>NOT(ISERROR(SEARCH("Achieved",C9)))</formula>
    </cfRule>
    <cfRule type="containsText" priority="4" operator="containsText" aboveAverage="0" equalAverage="0" bottom="0" percent="0" rank="0" text="No Gap" dxfId="7">
      <formula>NOT(ISERROR(SEARCH("No Gap",C9)))</formula>
    </cfRule>
    <cfRule type="containsText" priority="5" operator="containsText" aboveAverage="0" equalAverage="0" bottom="0" percent="0" rank="0" text="Exception" dxfId="8">
      <formula>NOT(ISERROR(SEARCH("Exception",C9)))</formula>
    </cfRule>
    <cfRule type="containsText" priority="6" operator="containsText" aboveAverage="0" equalAverage="0" bottom="0" percent="0" rank="0" text="Review" dxfId="8">
      <formula>NOT(ISERROR(SEARCH("Review",C9)))</formula>
    </cfRule>
    <cfRule type="containsText" priority="7" operator="containsText" aboveAverage="0" equalAverage="0" bottom="0" percent="0" rank="0" text="Below" dxfId="9">
      <formula>NOT(ISERROR(SEARCH("Below",C9)))</formula>
    </cfRule>
    <cfRule type="containsText" priority="8" operator="containsText" aboveAverage="0" equalAverage="0" bottom="0" percent="0" rank="0" text="Action Required" dxfId="9">
      <formula>NOT(ISERROR(SEARCH("Action Required",C9)))</formula>
    </cfRule>
    <cfRule type="containsText" priority="9" operator="containsText" aboveAverage="0" equalAverage="0" bottom="0" percent="0" rank="0" text="Not Started" dxfId="11">
      <formula>NOT(ISERROR(SEARCH("Not Started",C9)))</formula>
    </cfRule>
  </conditionalFormatting>
  <conditionalFormatting sqref="F9:F24">
    <cfRule type="containsText" priority="10" operator="containsText" aboveAverage="0" equalAverage="0" bottom="0" percent="0" rank="0" text="Meets" dxfId="7">
      <formula>NOT(ISERROR(SEARCH("Meets",F9)))</formula>
    </cfRule>
    <cfRule type="containsText" priority="11" operator="containsText" aboveAverage="0" equalAverage="0" bottom="0" percent="0" rank="0" text="Achieved" dxfId="7">
      <formula>NOT(ISERROR(SEARCH("Achieved",F9)))</formula>
    </cfRule>
    <cfRule type="containsText" priority="12" operator="containsText" aboveAverage="0" equalAverage="0" bottom="0" percent="0" rank="0" text="No Gap" dxfId="7">
      <formula>NOT(ISERROR(SEARCH("No Gap",F9)))</formula>
    </cfRule>
    <cfRule type="containsText" priority="13" operator="containsText" aboveAverage="0" equalAverage="0" bottom="0" percent="0" rank="0" text="Exception" dxfId="8">
      <formula>NOT(ISERROR(SEARCH("Exception",F9)))</formula>
    </cfRule>
    <cfRule type="containsText" priority="14" operator="containsText" aboveAverage="0" equalAverage="0" bottom="0" percent="0" rank="0" text="Review" dxfId="8">
      <formula>NOT(ISERROR(SEARCH("Review",F9)))</formula>
    </cfRule>
    <cfRule type="containsText" priority="15" operator="containsText" aboveAverage="0" equalAverage="0" bottom="0" percent="0" rank="0" text="Below" dxfId="9">
      <formula>NOT(ISERROR(SEARCH("Below",F9)))</formula>
    </cfRule>
    <cfRule type="containsText" priority="16" operator="containsText" aboveAverage="0" equalAverage="0" bottom="0" percent="0" rank="0" text="Action Required" dxfId="9">
      <formula>NOT(ISERROR(SEARCH("Action Required",F9)))</formula>
    </cfRule>
    <cfRule type="containsText" priority="17" operator="containsText" aboveAverage="0" equalAverage="0" bottom="0" percent="0" rank="0" text="Not Started" dxfId="11">
      <formula>NOT(ISERROR(SEARCH("Not Started",F9)))</formula>
    </cfRule>
  </conditionalFormatting>
  <conditionalFormatting sqref="A5">
    <cfRule type="cellIs" priority="18" operator="greaterThan" aboveAverage="0" equalAverage="0" bottom="0" percent="0" rank="0" text="" dxfId="12">
      <formula>0</formula>
    </cfRule>
    <cfRule type="expression" priority="19" aboveAverage="0" equalAverage="0" bottom="0" percent="0" rank="0" text="" dxfId="13">
      <formula>AND(A5=0,COUNTIF($C$9:$C$24,"Not Started")+COUNTIF($F$9:$F$24,"Not Started")&lt;32)</formula>
    </cfRule>
  </conditionalFormatting>
  <conditionalFormatting sqref="B5">
    <cfRule type="cellIs" priority="20" operator="greaterThan" aboveAverage="0" equalAverage="0" bottom="0" percent="0" rank="0" text="" dxfId="14">
      <formula>0</formula>
    </cfRule>
    <cfRule type="expression" priority="21" aboveAverage="0" equalAverage="0" bottom="0" percent="0" rank="0" text="" dxfId="13">
      <formula>AND(B5=0,COUNTIF($C$9:$C$24,"Not Started")+COUNTIF($F$9:$F$24,"Not Started")&lt;32)</formula>
    </cfRule>
  </conditionalFormatting>
  <conditionalFormatting sqref="C5">
    <cfRule type="cellIs" priority="22" operator="greaterThan" aboveAverage="0" equalAverage="0" bottom="0" percent="0" rank="0" text="" dxfId="12">
      <formula>0</formula>
    </cfRule>
    <cfRule type="expression" priority="23" aboveAverage="0" equalAverage="0" bottom="0" percent="0" rank="0" text="" dxfId="13">
      <formula>AND(C5=0,COUNTIF($C$9:$C$24,"Not Started")+COUNTIF($F$9:$F$24,"Not Started")&lt;32)</formula>
    </cfRule>
  </conditionalFormatting>
  <conditionalFormatting sqref="D5">
    <cfRule type="cellIs" priority="24" operator="greaterThan" aboveAverage="0" equalAverage="0" bottom="0" percent="0" rank="0" text="" dxfId="12">
      <formula>0</formula>
    </cfRule>
    <cfRule type="expression" priority="25" aboveAverage="0" equalAverage="0" bottom="0" percent="0" rank="0" text="" dxfId="13">
      <formula>AND(D5=0,COUNTIF($C$9:$C$24,"Not Started")+COUNTIF($F$9:$F$24,"Not Started")&lt;32)</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2026-08-10T23:51:52Z</dcterms:created>
  <dc:creator>Synergy Health Partners</dc:creator>
  <dc:description/>
  <dc:language>en-US</dc:language>
  <cp:lastModifiedBy/>
  <dcterms:modified xsi:type="dcterms:W3CDTF">2026-08-11T00:30:06Z</dcterms:modified>
  <cp:revision>0</cp:revision>
  <dc:subject>16-week physician clinic-capacity audit</dc:subject>
  <dc:title>Clinic Capacity Audit - Ortho &amp; Spine</dc:title>
</cp:coreProperties>
</file>

<file path=docProps/custom.xml><?xml version="1.0" encoding="utf-8"?>
<Properties xmlns="http://schemas.openxmlformats.org/officeDocument/2006/custom-properties" xmlns:vt="http://schemas.openxmlformats.org/officeDocument/2006/docPropsVTypes"/>
</file>