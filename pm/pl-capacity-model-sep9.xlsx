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er-PL model" sheetId="3" state="visible" r:id="rId5"/>
    <sheet name="Territory size" sheetId="4" state="visible" r:id="rId6"/>
    <sheet name="Evidence" sheetId="5" state="visible" r:id="rId7"/>
    <sheet name="Meeting version (Sep 9)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<sst xmlns="http://schemas.openxmlformats.org/spreadsheetml/2006/main" count="221" uniqueCount="182">
  <si>
    <t xml:space="preserve">PL capacity &amp; territory size — the two answers</t>
  </si>
  <si>
    <t xml:space="preserve">Book of record: Sep 3 (973 accounts, referral-evidence tiers). All numbers recalc from the Assumptions tab.</t>
  </si>
  <si>
    <t xml:space="preserve">Q1 — can we run the proposed cadence (T1 14d · T2 30d · Prospects 60d · drop T3)?</t>
  </si>
  <si>
    <t xml:space="preserve">No — not with three PLs, and not for Kristen's book under any cadence.</t>
  </si>
  <si>
    <t xml:space="preserve">Scenario</t>
  </si>
  <si>
    <t xml:space="preserve">Team visits/week required</t>
  </si>
  <si>
    <t xml:space="preserve">PLs needed (at 50/wk)</t>
  </si>
  <si>
    <t xml:space="preserve">PLs needed (at delivered ~44/wk)</t>
  </si>
  <si>
    <t xml:space="preserve">Kristen visits/wk</t>
  </si>
  <si>
    <t xml:space="preserve">Kristen PL-equiv</t>
  </si>
  <si>
    <t xml:space="preserve">A — current plan (T1 21 · T2 30 · T3 45 · P 45)</t>
  </si>
  <si>
    <t xml:space="preserve">B — proposed (T1 14 · T2 30 · T3 dropped · P 60)</t>
  </si>
  <si>
    <t xml:space="preserve">C — field-tuned (T1 21 · T2 30 · T3 45 · P 60 · attorneys monthly)</t>
  </si>
  <si>
    <t xml:space="preserve">Even today's cadence (A) needs 4.1 PLs at the 50-stop assumption — 4.7 at the delivered ~44 pace. The proposal</t>
  </si>
  <si>
    <t xml:space="preserve">(B) makes it worse: raising Tier-1 frequency 1.5× (21d → 14d) adds ~36 team stops/week, while the prospect relief saves ~20 and dropping T3 saves ~5 — net +11.</t>
  </si>
  <si>
    <t xml:space="preserve">The binding problem is distribution, not cadence: Kristen holds 127 of 216 Tier 1s (59%) and all 13 attorney accounts.</t>
  </si>
  <si>
    <t xml:space="preserve">Q2 — optimal accounts per territory</t>
  </si>
  <si>
    <t xml:space="preserve">A PL is a 50-stop weekly budget; the right account count depends on mix (see Territory size tab):</t>
  </si>
  <si>
    <t xml:space="preserve">   • producer-heavy book ≈ 200–235 accounts   • prospect-heavy book ≈ 300–320 accounts</t>
  </si>
  <si>
    <t xml:space="preserve">Jasmine's book today is exactly one full PL at the field-tuned cadence. Kristen's is ~1.6–2.0 PLs. Coty's ~1.1.</t>
  </si>
  <si>
    <t xml:space="preserve">The decision this puts in front of Gautam</t>
  </si>
  <si>
    <t xml:space="preserve">The 973-account book needs 3.7–4.4 PLs at the 50-stop assumption (4.2–5.0 at the delivered ~44 pace) under any defensible cadence. Three ways to close the gap, combinable:</t>
  </si>
  <si>
    <t xml:space="preserve">   1. Add a 4th PL and rebalance the producer concentration out of Kristen's territory. (At delivered pace a 4th PL closes most, not all, of the gap — pair it with #2.)</t>
  </si>
  <si>
    <t xml:space="preserve">   2. Trim the book: 506 prospects at 60d still cost 59 stops/week (1.2 PLs of pure prospecting) — the</t>
  </si>
  <si>
    <t xml:space="preserve">       promote/park cleanup the PLs already want is worth ~0.5 PL.</t>
  </si>
  <si>
    <t xml:space="preserve">   3. Run the field-tuned cadence (C): T1 21d (field-tested), P 60d, attorneys monthly in-person, keep T3 —</t>
  </si>
  <si>
    <t xml:space="preserve">       cheapest plan that still protects the 1,912-referral producer base. The 14-day T1 idea buys nothing:</t>
  </si>
  <si>
    <t xml:space="preserve">       it revisits before the median 31-day referral lag has played out, and the field already rejected it.</t>
  </si>
  <si>
    <t xml:space="preserve">Assumptions — every number the model uses</t>
  </si>
  <si>
    <t xml:space="preserve">Amber cells are the levers. Change any of them and every tab recalculates. Visit intervals are calendar days; a week has 7 calendar days and 5 field days.</t>
  </si>
  <si>
    <t xml:space="preserve">Capacity</t>
  </si>
  <si>
    <t xml:space="preserve">Field days / week</t>
  </si>
  <si>
    <t xml:space="preserve">Meetings, admin work, holidays and PTO cost real field days — set this to 4 to model a weekly admin day. (House rule: capacity numbers are never read as individual performance.)</t>
  </si>
  <si>
    <t xml:space="preserve">Stops / field day</t>
  </si>
  <si>
    <t xml:space="preserve">The shared working assumption from the Sep 9 discussion.</t>
  </si>
  <si>
    <t xml:space="preserve">Theoretical stops / PL-week</t>
  </si>
  <si>
    <t xml:space="preserve">Field days × stops/day.</t>
  </si>
  <si>
    <t xml:space="preserve">Delivered stops / PL-week (actual)</t>
  </si>
  <si>
    <t xml:space="preserve">MMC check-ins W1–W4 (Aug 3–28), company-day basis: team avg 43.8/PL-week. Source: Sep 3 activities export.</t>
  </si>
  <si>
    <t xml:space="preserve">Calendar days / week</t>
  </si>
  <si>
    <t xml:space="preserve">Cadence — A: current plan</t>
  </si>
  <si>
    <t xml:space="preserve">A · Tier 1 interval</t>
  </si>
  <si>
    <t xml:space="preserve">A · Tier 2 interval</t>
  </si>
  <si>
    <t xml:space="preserve">A · Tier 3 interval</t>
  </si>
  <si>
    <t xml:space="preserve">A · Prospect interval</t>
  </si>
  <si>
    <t xml:space="preserve">45-day first pass; the 90-day promote/park read can stretch steady-state to 90.</t>
  </si>
  <si>
    <t xml:space="preserve">A · Attorney Tier-1 in-person interval</t>
  </si>
  <si>
    <t xml:space="preserve">Scenario A treats attorney T1s like any T1.</t>
  </si>
  <si>
    <t xml:space="preserve">Cadence — B: proposed (Gautam)</t>
  </si>
  <si>
    <t xml:space="preserve">B · Tier 1 interval</t>
  </si>
  <si>
    <t xml:space="preserve">B · Tier 2 interval</t>
  </si>
  <si>
    <t xml:space="preserve">B · Tier 3 interval</t>
  </si>
  <si>
    <t xml:space="preserve">Blank = Tier 3 excluded from the visit plan.</t>
  </si>
  <si>
    <t xml:space="preserve">B · Prospect interval</t>
  </si>
  <si>
    <t xml:space="preserve">B · Attorney Tier-1 in-person interval</t>
  </si>
  <si>
    <t xml:space="preserve">Proposal treats attorney T1s like any T1.</t>
  </si>
  <si>
    <t xml:space="preserve">Cadence — C: field-tuned proposal</t>
  </si>
  <si>
    <t xml:space="preserve">C · Tier 1 interval</t>
  </si>
  <si>
    <t xml:space="preserve">14d was field-rejected Jul 22 ("too soon — we get annoying"); median visit→referral lag is 31 days.</t>
  </si>
  <si>
    <t xml:space="preserve">C · Tier 2 interval</t>
  </si>
  <si>
    <t xml:space="preserve">C · Tier 3 interval</t>
  </si>
  <si>
    <t xml:space="preserve">Keeping T3 costs the team only ~5 stops/week (34 accounts, 142 referrals in 15 months).</t>
  </si>
  <si>
    <t xml:space="preserve">C · Prospect interval</t>
  </si>
  <si>
    <t xml:space="preserve">The proposal's real relief: −20 team stops/week vs the 45-day first pass.</t>
  </si>
  <si>
    <t xml:space="preserve">C · Attorney Tier-1 in-person interval</t>
  </si>
  <si>
    <t xml:space="preserve">Attorneys are worked by phone/email weekly (Kristen); in-person monthly. 13 attorney T1s, all Kristen — 269 referrals in 15 months, 259 via the telehealth channel.</t>
  </si>
  <si>
    <t xml:space="preserve">Required visits per week — current book, by PL and scenario</t>
  </si>
  <si>
    <t xml:space="preserve">Book of record: Sep 3 refresh (973 accounts, referral-evidence tiers, incl. last week's 111 adds). Weekly visits = accounts × 7 ÷ interval. Attorney Tier 1s are modeled separately so their in-person interval can differ from the drive-to Tier 1s.</t>
  </si>
  <si>
    <t xml:space="preserve">Account counts (Sep 3 book)</t>
  </si>
  <si>
    <t xml:space="preserve">Kristen</t>
  </si>
  <si>
    <t xml:space="preserve">Jasmine</t>
  </si>
  <si>
    <t xml:space="preserve">Coty</t>
  </si>
  <si>
    <t xml:space="preserve">Team</t>
  </si>
  <si>
    <t xml:space="preserve">Tier 1 — attorney/legal</t>
  </si>
  <si>
    <t xml:space="preserve">Tier 1 — all other</t>
  </si>
  <si>
    <t xml:space="preserve">Tier 2</t>
  </si>
  <si>
    <t xml:space="preserve">Tier 3</t>
  </si>
  <si>
    <t xml:space="preserve">Prospects</t>
  </si>
  <si>
    <t xml:space="preserve">Total accounts</t>
  </si>
  <si>
    <t xml:space="preserve">Scenario A — current plan (T1 21 · T2 30 · T3 45 · P 45)</t>
  </si>
  <si>
    <t xml:space="preserve">  Tier 1 — attorney/legal</t>
  </si>
  <si>
    <t xml:space="preserve">  Tier 1 — all other</t>
  </si>
  <si>
    <t xml:space="preserve">  Tier 2</t>
  </si>
  <si>
    <t xml:space="preserve">  Tier 3</t>
  </si>
  <si>
    <t xml:space="preserve">  Prospects</t>
  </si>
  <si>
    <t xml:space="preserve">  Visits required / week</t>
  </si>
  <si>
    <t xml:space="preserve">  PL-equivalents at theoretical capacity  (Team = PLs needed)</t>
  </si>
  <si>
    <t xml:space="preserve">  PL-equivalents at delivered pace (43.8/wk)  (Team = PLs needed)</t>
  </si>
  <si>
    <t xml:space="preserve">Scenario B — proposed (T1 14 · T2 30 · T3 dropped · P 60)</t>
  </si>
  <si>
    <t xml:space="preserve">Scenario C — field-tuned (T1 21 · T2 30 · T3 45 · P 60 · attorneys monthly)</t>
  </si>
  <si>
    <t xml:space="preserve">Q2 — what is the optimal number of accounts per PL?</t>
  </si>
  <si>
    <t xml:space="preserve">There is no single number: a PL is a weekly stop budget, and account count depends on the tier mix. Each account "costs" 7 ÷ interval stops per week. Budget = stops/day × field days (50 today).</t>
  </si>
  <si>
    <t xml:space="preserve">Weekly cost per account, by tier and interval</t>
  </si>
  <si>
    <t xml:space="preserve">Tier / interval</t>
  </si>
  <si>
    <t xml:space="preserve">Interval (days)</t>
  </si>
  <si>
    <t xml:space="preserve">Stops/week each</t>
  </si>
  <si>
    <t xml:space="preserve">Accounts one PL could hold if the book were ONLY this tier</t>
  </si>
  <si>
    <t xml:space="preserve">Tier 1 at proposed 14d</t>
  </si>
  <si>
    <t xml:space="preserve">Tier 1 at field-tested 21d</t>
  </si>
  <si>
    <t xml:space="preserve">Tier 2 at 30d</t>
  </si>
  <si>
    <t xml:space="preserve">Tier 3 at 45d</t>
  </si>
  <si>
    <t xml:space="preserve">Prospect at 45d (current first pass)</t>
  </si>
  <si>
    <t xml:space="preserve">Prospect at proposed 60d</t>
  </si>
  <si>
    <t xml:space="preserve">Attorney T1, in-person monthly</t>
  </si>
  <si>
    <t xml:space="preserve">Example sustainable books (one PL, 50-stop budget)</t>
  </si>
  <si>
    <t xml:space="preserve">Mix</t>
  </si>
  <si>
    <t xml:space="preserve">T1</t>
  </si>
  <si>
    <t xml:space="preserve">T2</t>
  </si>
  <si>
    <t xml:space="preserve">T3</t>
  </si>
  <si>
    <t xml:space="preserve">Stops/week</t>
  </si>
  <si>
    <t xml:space="preserve">Producer-heavy (T1 21d · P 60d)</t>
  </si>
  <si>
    <t xml:space="preserve">Balanced (T1 21d · P 60d)</t>
  </si>
  <si>
    <t xml:space="preserve">Prospect-heavy (T1 21d · P 60d)</t>
  </si>
  <si>
    <t xml:space="preserve">Producer-heavy at proposed T1 14d</t>
  </si>
  <si>
    <t xml:space="preserve">Reference: Jasmine's actual book (34 T1 · 42 T2 · 10 T3 · 234 P) at the field-tuned cadence needs exactly 50.0 stops/week — one full PL. The example mixes above land at 43–48 on purpose: 2–7 stops/week of slack covers recovery visits, same-day thank-yous, and new-referral follow-ups.</t>
  </si>
  <si>
    <t xml:space="preserve">Rules of thumb</t>
  </si>
  <si>
    <t xml:space="preserve">• Producer-heavy book (50+ Tier 1s): ~200–235 accounts is full.</t>
  </si>
  <si>
    <t xml:space="preserve">• Prospect-heavy book (~30 Tier 1s): ~300–320 accounts is full.</t>
  </si>
  <si>
    <t xml:space="preserve">• Every Tier 1 at 14 days costs 1.0% of a PL; at 21 days it costs 0.67%.</t>
  </si>
  <si>
    <t xml:space="preserve">• Kristen's 127 Tier 1s alone consume 63.5 stops/week at 14d — 127% of one PL before a single Tier 2 or prospect.</t>
  </si>
  <si>
    <t xml:space="preserve">What the data says about the levers</t>
  </si>
  <si>
    <t xml:space="preserve">Delivered pace (MMC check-ins, W1–W4 Aug 3–28, company-day basis)</t>
  </si>
  <si>
    <t xml:space="preserve">40 · 42 · 36 · 47  (avg 41/week)</t>
  </si>
  <si>
    <t xml:space="preserve">22 · 55 · 44 · 48  (avg 42/week)</t>
  </si>
  <si>
    <t xml:space="preserve">41 · 41 · 54 · 55  (avg 48/week)</t>
  </si>
  <si>
    <t xml:space="preserve">Team average per PL-week</t>
  </si>
  <si>
    <t xml:space="preserve">43.8 — the honest capacity number is ~44, not 50 (meetings, admin, holidays are real)</t>
  </si>
  <si>
    <t xml:space="preserve">Production by tier — 15-month referral ledger (Jun 2025 – Aug 2026)</t>
  </si>
  <si>
    <t xml:space="preserve">Tier 1 (216 accts)</t>
  </si>
  <si>
    <t xml:space="preserve">1,912 referrals · 461 spine — the franchise; protect first</t>
  </si>
  <si>
    <t xml:space="preserve">Tier 2 (217 accts)</t>
  </si>
  <si>
    <t xml:space="preserve">1,032 referrals · 73 spine — the cross-sell upside the 30d rhythm exists for</t>
  </si>
  <si>
    <t xml:space="preserve">Tier 3 (34 accts)</t>
  </si>
  <si>
    <t xml:space="preserve">142 referrals · 14 spine · 33 of 34 sent something. Dropping T3 saves only ~5 team stops/week — it is not a lever, and it cuts live senders</t>
  </si>
  <si>
    <t xml:space="preserve">Attorney Tier 1s (13, all Kristen)</t>
  </si>
  <si>
    <t xml:space="preserve">269 referrals · 259 via the telehealth/auto-intake channel. Worked by phone/email weekly today; in-person monthly is the right cadence — frees ~3.5 drive stops/week vs 14d</t>
  </si>
  <si>
    <t xml:space="preserve">Why 14 days is the wrong Tier-1 rhythm</t>
  </si>
  <si>
    <t xml:space="preserve">Field test (Jul 22)</t>
  </si>
  <si>
    <t xml:space="preserve">Kristen: 14-day was rejected as "too soon — we get annoying"; 21d chosen</t>
  </si>
  <si>
    <t xml:space="preserve">Referral physics</t>
  </si>
  <si>
    <t xml:space="preserve">Median visit→first-appointment lag is 31 days (83% within 60) — a 14-day loop revisits before the last visit's referrals have even landed</t>
  </si>
  <si>
    <t xml:space="preserve">Tier changes still in flight</t>
  </si>
  <si>
    <t xml:space="preserve">Joel's updated tier file (sent Sep 8)</t>
  </si>
  <si>
    <t xml:space="preserve">Not yet folded in. Kristen reports more T2→T1 moves. Re-run this model when it lands — amber counts on "Per-PL model" are the only cells to update</t>
  </si>
  <si>
    <t xml:space="preserve">Meeting-sheet reconciliation</t>
  </si>
  <si>
    <t xml:space="preserve">Meeting counts (Kristen 252 · Coty 300 · Jasmine 310)</t>
  </si>
  <si>
    <t xml:space="preserve">That was the pre-Sep-3 book. Last week's 111 adds: Kristen +70 (30 T1 · 31 T2 · 9 P), Coty +31 (18 T1 · 10 T2 · 3 P), Jasmine +10. Current: Kristen 322 · Jasmine 320 · Coty 331</t>
  </si>
  <si>
    <t xml:space="preserve">Physician liaison capacity comparison</t>
  </si>
  <si>
    <t xml:space="preserve">Proposed cadence for the three territories reviewed. Visit intervals use calendar days.</t>
  </si>
  <si>
    <t xml:space="preserve">Weekly capacity</t>
  </si>
  <si>
    <t xml:space="preserve">First territory*</t>
  </si>
  <si>
    <t xml:space="preserve">Combined</t>
  </si>
  <si>
    <t xml:space="preserve">Accounts included</t>
  </si>
  <si>
    <t xml:space="preserve">Visits required / week</t>
  </si>
  <si>
    <t xml:space="preserve">Visit capacity / week</t>
  </si>
  <si>
    <t xml:space="preserve">Weekly gap: required minus capacity</t>
  </si>
  <si>
    <t xml:space="preserve">Workload above capacity</t>
  </si>
  <si>
    <t xml:space="preserve">Stops required / working day</t>
  </si>
  <si>
    <t xml:space="preserve">Workload in PL equivalents</t>
  </si>
  <si>
    <t xml:space="preserve">Weekly visits by tier</t>
  </si>
  <si>
    <t xml:space="preserve">Tier 1</t>
  </si>
  <si>
    <t xml:space="preserve">Account inputs</t>
  </si>
  <si>
    <t xml:space="preserve">Source: Account counts and operating assumptions from the discussion supplied in this chat.</t>
  </si>
  <si>
    <t xml:space="preserve">Account counts</t>
  </si>
  <si>
    <t xml:space="preserve">Reported total</t>
  </si>
  <si>
    <t xml:space="preserve">Amber cells are editable inputs. Update counts after account cleanup and tier changes.</t>
  </si>
  <si>
    <t xml:space="preserve">Shared assumptions</t>
  </si>
  <si>
    <t xml:space="preserve">Value</t>
  </si>
  <si>
    <t xml:space="preserve">Tier 1 interval: calendar days</t>
  </si>
  <si>
    <t xml:space="preserve">Weekly visits = accounts × 7 ÷ interval.</t>
  </si>
  <si>
    <t xml:space="preserve">Tier 2 interval: calendar days</t>
  </si>
  <si>
    <t xml:space="preserve">Five field days do not include weekends.</t>
  </si>
  <si>
    <t xml:space="preserve">Prospect interval: calendar days</t>
  </si>
  <si>
    <t xml:space="preserve">PL equivalents = visits ÷ weekly capacity.</t>
  </si>
  <si>
    <t xml:space="preserve">Set field days to 4 for an admin day.</t>
  </si>
  <si>
    <t xml:space="preserve">Count reconciliation</t>
  </si>
  <si>
    <t xml:space="preserve">Reported accounts outside this model</t>
  </si>
  <si>
    <t xml:space="preserve">First territory: 18 excluded Tier 3 accounts. Coty: 6 and Jasmine: 10 accounts need classification.</t>
  </si>
  <si>
    <t xml:space="preserve">*First territory owner is not clearly named in the transcript. Confirm the name before sharing.</t>
  </si>
  <si>
    <t xml:space="preserve">Full field weeks assumed. Meetings, admin work, holidays and PTO reduce available field time.</t>
  </si>
  <si>
    <t xml:space="preserve">One account visit is treated as one stop. Travel and account availability have not been validated.</t>
  </si>
  <si>
    <t xml:space="preserve">Totals use unrounded values. PL equivalents measure workload, not a final hiring recommendation.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</si>
</sst>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.00"/>
    <numFmt numFmtId="168" formatCode="#,##0"/>
    <numFmt numFmtId="169" formatCode="0.0%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1"/>
      <color rgb="FF243B53"/>
      <name val="Arial"/>
      <family val="0"/>
      <charset val="1"/>
    </font>
    <font>
      <b val="true"/>
      <sz val="17"/>
      <color rgb="FF243B53"/>
      <name val="Arial"/>
      <family val="0"/>
      <charset val="1"/>
    </font>
    <font>
      <i val="true"/>
      <sz val="11"/>
      <color rgb="FF5265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43B53"/>
      <name val="Arial"/>
      <family val="0"/>
      <charset val="1"/>
    </font>
    <font>
      <sz val="11"/>
      <color rgb="FF52657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CE9E5"/>
      </patternFill>
    </fill>
    <fill>
      <patternFill patternType="solid">
        <fgColor rgb="FF243B53"/>
        <bgColor rgb="FF003366"/>
      </patternFill>
    </fill>
    <fill>
      <patternFill patternType="solid">
        <fgColor rgb="FFEAF0F6"/>
        <bgColor rgb="FFFCE9E5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  <border diagonalUp="false" diagonalDown="false">
      <left/>
      <right/>
      <top/>
      <bottom style="thin">
        <color rgb="FFCCD5DE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CCD5DE"/>
      </left>
      <right/>
      <top/>
      <bottom/>
      <diagonal/>
    </border>
    <border diagonalUp="false" diagonalDown="false">
      <left style="thin">
        <color rgb="FFCCD5DE"/>
      </left>
      <right/>
      <top/>
      <bottom style="thin">
        <color rgb="FFCCD5DE"/>
      </bottom>
      <diagonal/>
    </border>
    <border diagonalUp="false" diagonalDown="false">
      <left style="thin">
        <color rgb="FFFFFFFF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A53025"/>
      </font>
      <fill>
        <patternFill>
          <bgColor rgb="FFFCE9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AF0F6"/>
      <rgbColor rgb="FF660066"/>
      <rgbColor rgb="FFFF8080"/>
      <rgbColor rgb="FF0066CC"/>
      <rgbColor rgb="FFCC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9E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576"/>
      <rgbColor rgb="FF969696"/>
      <rgbColor rgb="FF003366"/>
      <rgbColor rgb="FF339966"/>
      <rgbColor rgb="FF003300"/>
      <rgbColor rgb="FF333300"/>
      <rgbColor rgb="FFA53025"/>
      <rgbColor rgb="FF993366"/>
      <rgbColor rgb="FF555555"/>
      <rgbColor rgb="FF243B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2" min="2" style="1" width="65.59"/>
    <col collapsed="false" customWidth="true" hidden="false" outlineLevel="0" max="7" min="3" style="1" width="18.92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8" customFormat="false" ht="39.75" hidden="false" customHeight="true" outlineLevel="0" collapsed="false"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</row>
    <row r="9" customFormat="false" ht="27.75" hidden="false" customHeight="true" outlineLevel="0" collapsed="false">
      <c r="B9" s="7" t="s">
        <v>10</v>
      </c>
      <c r="C9" s="8" t="n">
        <f aca="false">'Per-PL model'!F20</f>
        <v>206.633333333333</v>
      </c>
      <c r="D9" s="9" t="n">
        <f aca="false">'Per-PL model'!F21</f>
        <v>4.13266666666667</v>
      </c>
      <c r="E9" s="9" t="n">
        <f aca="false">'Per-PL model'!F22</f>
        <v>4.71765601217656</v>
      </c>
      <c r="F9" s="8" t="n">
        <f aca="false">'Per-PL model'!C20</f>
        <v>82.4666666666667</v>
      </c>
      <c r="G9" s="10" t="n">
        <f aca="false">'Per-PL model'!C21</f>
        <v>1.64933333333333</v>
      </c>
    </row>
    <row r="10" customFormat="false" ht="27.75" hidden="false" customHeight="true" outlineLevel="0" collapsed="false">
      <c r="B10" s="7" t="s">
        <v>11</v>
      </c>
      <c r="C10" s="8" t="n">
        <f aca="false">'Per-PL model'!F30</f>
        <v>217.666666666667</v>
      </c>
      <c r="D10" s="9" t="n">
        <f aca="false">'Per-PL model'!F31</f>
        <v>4.35333333333333</v>
      </c>
      <c r="E10" s="9" t="n">
        <f aca="false">'Per-PL model'!F32</f>
        <v>4.96955859969559</v>
      </c>
      <c r="F10" s="8" t="n">
        <f aca="false">'Per-PL model'!C30</f>
        <v>98.85</v>
      </c>
      <c r="G10" s="10" t="n">
        <f aca="false">'Per-PL model'!C31</f>
        <v>1.977</v>
      </c>
    </row>
    <row r="11" customFormat="false" ht="27.75" hidden="false" customHeight="true" outlineLevel="0" collapsed="false">
      <c r="B11" s="7" t="s">
        <v>12</v>
      </c>
      <c r="C11" s="8" t="n">
        <f aca="false">'Per-PL model'!F40</f>
        <v>185.655555555556</v>
      </c>
      <c r="D11" s="9" t="n">
        <f aca="false">'Per-PL model'!F41</f>
        <v>3.71311111111111</v>
      </c>
      <c r="E11" s="9" t="n">
        <f aca="false">'Per-PL model'!F42</f>
        <v>4.23871131405378</v>
      </c>
      <c r="F11" s="8" t="n">
        <f aca="false">'Per-PL model'!C40</f>
        <v>79.1833333333333</v>
      </c>
      <c r="G11" s="10" t="n">
        <f aca="false">'Per-PL model'!C41</f>
        <v>1.58366666666667</v>
      </c>
    </row>
    <row r="13" customFormat="false" ht="15" hidden="false" customHeight="true" outlineLevel="0" collapsed="false">
      <c r="B13" s="11" t="s">
        <v>13</v>
      </c>
    </row>
    <row r="14" customFormat="false" ht="15" hidden="false" customHeight="true" outlineLevel="0" collapsed="false">
      <c r="B14" s="11" t="s">
        <v>14</v>
      </c>
    </row>
    <row r="15" customFormat="false" ht="15" hidden="false" customHeight="true" outlineLevel="0" collapsed="false">
      <c r="B15" s="11" t="s">
        <v>15</v>
      </c>
    </row>
    <row r="17" customFormat="false" ht="15" hidden="false" customHeight="true" outlineLevel="0" collapsed="false">
      <c r="B17" s="4" t="s">
        <v>16</v>
      </c>
    </row>
    <row r="18" customFormat="false" ht="15" hidden="false" customHeight="true" outlineLevel="0" collapsed="false">
      <c r="B18" s="11" t="s">
        <v>17</v>
      </c>
    </row>
    <row r="19" customFormat="false" ht="15" hidden="false" customHeight="true" outlineLevel="0" collapsed="false">
      <c r="B19" s="11" t="s">
        <v>18</v>
      </c>
    </row>
    <row r="20" customFormat="false" ht="15" hidden="false" customHeight="true" outlineLevel="0" collapsed="false">
      <c r="B20" s="11" t="s">
        <v>19</v>
      </c>
    </row>
    <row r="22" customFormat="false" ht="15" hidden="false" customHeight="true" outlineLevel="0" collapsed="false">
      <c r="B22" s="4" t="s">
        <v>20</v>
      </c>
    </row>
    <row r="23" customFormat="false" ht="15" hidden="false" customHeight="true" outlineLevel="0" collapsed="false">
      <c r="B23" s="11" t="s">
        <v>21</v>
      </c>
    </row>
    <row r="24" customFormat="false" ht="15" hidden="false" customHeight="true" outlineLevel="0" collapsed="false">
      <c r="B24" s="11" t="s">
        <v>22</v>
      </c>
    </row>
    <row r="25" customFormat="false" ht="15" hidden="false" customHeight="true" outlineLevel="0" collapsed="false">
      <c r="B25" s="11" t="s">
        <v>23</v>
      </c>
    </row>
    <row r="26" customFormat="false" ht="15" hidden="false" customHeight="true" outlineLevel="0" collapsed="false">
      <c r="B26" s="11" t="s">
        <v>24</v>
      </c>
    </row>
    <row r="27" customFormat="false" ht="15" hidden="false" customHeight="true" outlineLevel="0" collapsed="false">
      <c r="B27" s="11" t="s">
        <v>25</v>
      </c>
    </row>
    <row r="28" customFormat="false" ht="15" hidden="false" customHeight="true" outlineLevel="0" collapsed="false">
      <c r="B28" s="11" t="s">
        <v>26</v>
      </c>
    </row>
    <row r="29" customFormat="false" ht="15" hidden="false" customHeight="true" outlineLevel="0" collapsed="false">
      <c r="B29" s="1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2" min="2" style="1" width="47.93"/>
    <col collapsed="false" customWidth="true" hidden="false" outlineLevel="0" max="3" min="3" style="1" width="12.61"/>
    <col collapsed="false" customWidth="true" hidden="false" outlineLevel="0" max="4" min="4" style="1" width="75.68"/>
  </cols>
  <sheetData>
    <row r="2" customFormat="false" ht="17.25" hidden="false" customHeight="true" outlineLevel="0" collapsed="false">
      <c r="B2" s="2" t="s">
        <v>28</v>
      </c>
    </row>
    <row r="3" customFormat="false" ht="25.5" hidden="false" customHeight="true" outlineLevel="0" collapsed="false">
      <c r="B3" s="12" t="s">
        <v>29</v>
      </c>
      <c r="C3" s="12"/>
      <c r="D3" s="12"/>
      <c r="E3" s="12"/>
      <c r="F3" s="12"/>
    </row>
    <row r="5" customFormat="false" ht="15" hidden="false" customHeight="true" outlineLevel="0" collapsed="false">
      <c r="B5" s="4" t="s">
        <v>30</v>
      </c>
    </row>
    <row r="6" customFormat="false" ht="15" hidden="false" customHeight="true" outlineLevel="0" collapsed="false">
      <c r="B6" s="11" t="s">
        <v>31</v>
      </c>
      <c r="C6" s="13" t="n">
        <v>5</v>
      </c>
      <c r="D6" s="12" t="s">
        <v>32</v>
      </c>
      <c r="E6" s="12"/>
      <c r="F6" s="12"/>
      <c r="G6" s="12"/>
      <c r="H6" s="12"/>
    </row>
    <row r="7" customFormat="false" ht="15" hidden="false" customHeight="true" outlineLevel="0" collapsed="false">
      <c r="B7" s="11" t="s">
        <v>33</v>
      </c>
      <c r="C7" s="13" t="n">
        <v>10</v>
      </c>
      <c r="D7" s="12" t="s">
        <v>34</v>
      </c>
      <c r="E7" s="12"/>
      <c r="F7" s="12"/>
      <c r="G7" s="12"/>
      <c r="H7" s="12"/>
    </row>
    <row r="8" customFormat="false" ht="15" hidden="false" customHeight="true" outlineLevel="0" collapsed="false">
      <c r="B8" s="11" t="s">
        <v>35</v>
      </c>
      <c r="C8" s="8" t="n">
        <f aca="false">C6*C7</f>
        <v>50</v>
      </c>
      <c r="D8" s="12" t="s">
        <v>36</v>
      </c>
      <c r="E8" s="12"/>
      <c r="F8" s="12"/>
      <c r="G8" s="12"/>
      <c r="H8" s="12"/>
    </row>
    <row r="9" customFormat="false" ht="15" hidden="false" customHeight="true" outlineLevel="0" collapsed="false">
      <c r="B9" s="11" t="s">
        <v>37</v>
      </c>
      <c r="C9" s="14" t="n">
        <v>43.8</v>
      </c>
      <c r="D9" s="12" t="s">
        <v>38</v>
      </c>
      <c r="E9" s="12"/>
      <c r="F9" s="12"/>
      <c r="G9" s="12"/>
      <c r="H9" s="12"/>
    </row>
    <row r="10" customFormat="false" ht="15" hidden="false" customHeight="true" outlineLevel="0" collapsed="false">
      <c r="B10" s="11" t="s">
        <v>39</v>
      </c>
      <c r="C10" s="13" t="n">
        <v>7</v>
      </c>
    </row>
    <row r="11" customFormat="false" ht="15" hidden="false" customHeight="true" outlineLevel="0" collapsed="false">
      <c r="B11" s="4" t="s">
        <v>40</v>
      </c>
    </row>
    <row r="12" customFormat="false" ht="15" hidden="false" customHeight="true" outlineLevel="0" collapsed="false">
      <c r="B12" s="11" t="s">
        <v>41</v>
      </c>
      <c r="C12" s="13" t="n">
        <v>21</v>
      </c>
    </row>
    <row r="13" customFormat="false" ht="15" hidden="false" customHeight="true" outlineLevel="0" collapsed="false">
      <c r="B13" s="11" t="s">
        <v>42</v>
      </c>
      <c r="C13" s="13" t="n">
        <v>30</v>
      </c>
    </row>
    <row r="14" customFormat="false" ht="15" hidden="false" customHeight="true" outlineLevel="0" collapsed="false">
      <c r="B14" s="11" t="s">
        <v>43</v>
      </c>
      <c r="C14" s="13" t="n">
        <v>45</v>
      </c>
    </row>
    <row r="15" customFormat="false" ht="15" hidden="false" customHeight="true" outlineLevel="0" collapsed="false">
      <c r="B15" s="11" t="s">
        <v>44</v>
      </c>
      <c r="C15" s="13" t="n">
        <v>45</v>
      </c>
      <c r="D15" s="12" t="s">
        <v>45</v>
      </c>
      <c r="E15" s="12"/>
      <c r="F15" s="12"/>
      <c r="G15" s="12"/>
      <c r="H15" s="12"/>
    </row>
    <row r="16" customFormat="false" ht="15" hidden="false" customHeight="true" outlineLevel="0" collapsed="false">
      <c r="B16" s="11" t="s">
        <v>46</v>
      </c>
      <c r="C16" s="13" t="n">
        <v>21</v>
      </c>
      <c r="D16" s="12" t="s">
        <v>47</v>
      </c>
      <c r="E16" s="12"/>
      <c r="F16" s="12"/>
      <c r="G16" s="12"/>
      <c r="H16" s="12"/>
    </row>
    <row r="17" customFormat="false" ht="15" hidden="false" customHeight="true" outlineLevel="0" collapsed="false">
      <c r="B17" s="4" t="s">
        <v>48</v>
      </c>
    </row>
    <row r="18" customFormat="false" ht="15" hidden="false" customHeight="true" outlineLevel="0" collapsed="false">
      <c r="B18" s="11" t="s">
        <v>49</v>
      </c>
      <c r="C18" s="13" t="n">
        <v>14</v>
      </c>
    </row>
    <row r="19" customFormat="false" ht="15" hidden="false" customHeight="true" outlineLevel="0" collapsed="false">
      <c r="B19" s="11" t="s">
        <v>50</v>
      </c>
      <c r="C19" s="13" t="n">
        <v>30</v>
      </c>
    </row>
    <row r="20" customFormat="false" ht="15" hidden="false" customHeight="true" outlineLevel="0" collapsed="false">
      <c r="B20" s="11" t="s">
        <v>51</v>
      </c>
      <c r="C20" s="13"/>
      <c r="D20" s="12" t="s">
        <v>52</v>
      </c>
      <c r="E20" s="12"/>
      <c r="F20" s="12"/>
      <c r="G20" s="12"/>
      <c r="H20" s="12"/>
    </row>
    <row r="21" customFormat="false" ht="15" hidden="false" customHeight="true" outlineLevel="0" collapsed="false">
      <c r="B21" s="11" t="s">
        <v>53</v>
      </c>
      <c r="C21" s="13" t="n">
        <v>60</v>
      </c>
    </row>
    <row r="22" customFormat="false" ht="15" hidden="false" customHeight="true" outlineLevel="0" collapsed="false">
      <c r="B22" s="11" t="s">
        <v>54</v>
      </c>
      <c r="C22" s="13" t="n">
        <v>14</v>
      </c>
      <c r="D22" s="12" t="s">
        <v>55</v>
      </c>
      <c r="E22" s="12"/>
      <c r="F22" s="12"/>
      <c r="G22" s="12"/>
      <c r="H22" s="12"/>
    </row>
    <row r="23" customFormat="false" ht="15" hidden="false" customHeight="true" outlineLevel="0" collapsed="false">
      <c r="B23" s="4" t="s">
        <v>56</v>
      </c>
    </row>
    <row r="24" customFormat="false" ht="15" hidden="false" customHeight="true" outlineLevel="0" collapsed="false">
      <c r="B24" s="11" t="s">
        <v>57</v>
      </c>
      <c r="C24" s="13" t="n">
        <v>21</v>
      </c>
      <c r="D24" s="12" t="s">
        <v>58</v>
      </c>
      <c r="E24" s="12"/>
      <c r="F24" s="12"/>
      <c r="G24" s="12"/>
      <c r="H24" s="12"/>
    </row>
    <row r="25" customFormat="false" ht="15" hidden="false" customHeight="true" outlineLevel="0" collapsed="false">
      <c r="B25" s="11" t="s">
        <v>59</v>
      </c>
      <c r="C25" s="13" t="n">
        <v>30</v>
      </c>
    </row>
    <row r="26" customFormat="false" ht="15" hidden="false" customHeight="true" outlineLevel="0" collapsed="false">
      <c r="B26" s="11" t="s">
        <v>60</v>
      </c>
      <c r="C26" s="13" t="n">
        <v>45</v>
      </c>
      <c r="D26" s="12" t="s">
        <v>61</v>
      </c>
      <c r="E26" s="12"/>
      <c r="F26" s="12"/>
      <c r="G26" s="12"/>
      <c r="H26" s="12"/>
    </row>
    <row r="27" customFormat="false" ht="15" hidden="false" customHeight="true" outlineLevel="0" collapsed="false">
      <c r="B27" s="11" t="s">
        <v>62</v>
      </c>
      <c r="C27" s="13" t="n">
        <v>60</v>
      </c>
      <c r="D27" s="12" t="s">
        <v>63</v>
      </c>
      <c r="E27" s="12"/>
      <c r="F27" s="12"/>
      <c r="G27" s="12"/>
      <c r="H27" s="12"/>
    </row>
    <row r="28" customFormat="false" ht="21.75" hidden="false" customHeight="true" outlineLevel="0" collapsed="false">
      <c r="B28" s="11" t="s">
        <v>64</v>
      </c>
      <c r="C28" s="13" t="n">
        <v>30</v>
      </c>
      <c r="D28" s="12" t="s">
        <v>65</v>
      </c>
      <c r="E28" s="12"/>
      <c r="F28" s="12"/>
      <c r="G28" s="12"/>
      <c r="H28" s="12"/>
    </row>
  </sheetData>
  <mergeCells count="13">
    <mergeCell ref="B3:F3"/>
    <mergeCell ref="D6:H6"/>
    <mergeCell ref="D7:H7"/>
    <mergeCell ref="D8:H8"/>
    <mergeCell ref="D9:H9"/>
    <mergeCell ref="D15:H15"/>
    <mergeCell ref="D16:H16"/>
    <mergeCell ref="D20:H20"/>
    <mergeCell ref="D22:H22"/>
    <mergeCell ref="D24:H24"/>
    <mergeCell ref="D26:H26"/>
    <mergeCell ref="D27:H27"/>
    <mergeCell ref="D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2" min="2" style="1" width="55.5"/>
    <col collapsed="false" customWidth="true" hidden="false" outlineLevel="0" max="6" min="3" style="1" width="13.87"/>
  </cols>
  <sheetData>
    <row r="2" customFormat="false" ht="17.25" hidden="false" customHeight="true" outlineLevel="0" collapsed="false">
      <c r="B2" s="2" t="s">
        <v>66</v>
      </c>
    </row>
    <row r="3" customFormat="false" ht="39.75" hidden="false" customHeight="true" outlineLevel="0" collapsed="false">
      <c r="B3" s="12" t="s">
        <v>67</v>
      </c>
      <c r="C3" s="12"/>
      <c r="D3" s="12"/>
      <c r="E3" s="12"/>
      <c r="F3" s="12"/>
      <c r="G3" s="12"/>
    </row>
    <row r="5" customFormat="false" ht="15" hidden="false" customHeight="true" outlineLevel="0" collapsed="false">
      <c r="B5" s="4" t="s">
        <v>68</v>
      </c>
    </row>
    <row r="6" customFormat="false" ht="15" hidden="false" customHeight="true" outlineLevel="0" collapsed="false">
      <c r="B6" s="15"/>
      <c r="C6" s="15" t="s">
        <v>69</v>
      </c>
      <c r="D6" s="15" t="s">
        <v>70</v>
      </c>
      <c r="E6" s="15" t="s">
        <v>71</v>
      </c>
      <c r="F6" s="15" t="s">
        <v>72</v>
      </c>
    </row>
    <row r="7" customFormat="false" ht="15" hidden="false" customHeight="true" outlineLevel="0" collapsed="false">
      <c r="B7" s="11" t="s">
        <v>73</v>
      </c>
      <c r="C7" s="13" t="n">
        <v>13</v>
      </c>
      <c r="D7" s="13" t="n">
        <v>0</v>
      </c>
      <c r="E7" s="13" t="n">
        <v>0</v>
      </c>
      <c r="F7" s="16" t="n">
        <f aca="false">SUM(C7:E7)</f>
        <v>13</v>
      </c>
    </row>
    <row r="8" customFormat="false" ht="15" hidden="false" customHeight="true" outlineLevel="0" collapsed="false">
      <c r="B8" s="11" t="s">
        <v>74</v>
      </c>
      <c r="C8" s="13" t="n">
        <v>114</v>
      </c>
      <c r="D8" s="13" t="n">
        <v>34</v>
      </c>
      <c r="E8" s="13" t="n">
        <v>55</v>
      </c>
      <c r="F8" s="16" t="n">
        <f aca="false">SUM(C8:E8)</f>
        <v>203</v>
      </c>
    </row>
    <row r="9" customFormat="false" ht="15" hidden="false" customHeight="true" outlineLevel="0" collapsed="false">
      <c r="B9" s="11" t="s">
        <v>75</v>
      </c>
      <c r="C9" s="13" t="n">
        <v>126</v>
      </c>
      <c r="D9" s="13" t="n">
        <v>42</v>
      </c>
      <c r="E9" s="13" t="n">
        <v>49</v>
      </c>
      <c r="F9" s="16" t="n">
        <f aca="false">SUM(C9:E9)</f>
        <v>217</v>
      </c>
    </row>
    <row r="10" customFormat="false" ht="15" hidden="false" customHeight="true" outlineLevel="0" collapsed="false">
      <c r="B10" s="11" t="s">
        <v>76</v>
      </c>
      <c r="C10" s="13" t="n">
        <v>18</v>
      </c>
      <c r="D10" s="13" t="n">
        <v>10</v>
      </c>
      <c r="E10" s="13" t="n">
        <v>6</v>
      </c>
      <c r="F10" s="16" t="n">
        <f aca="false">SUM(C10:E10)</f>
        <v>34</v>
      </c>
    </row>
    <row r="11" customFormat="false" ht="15" hidden="false" customHeight="true" outlineLevel="0" collapsed="false">
      <c r="B11" s="11" t="s">
        <v>77</v>
      </c>
      <c r="C11" s="13" t="n">
        <v>51</v>
      </c>
      <c r="D11" s="13" t="n">
        <v>234</v>
      </c>
      <c r="E11" s="13" t="n">
        <v>221</v>
      </c>
      <c r="F11" s="16" t="n">
        <f aca="false">SUM(C11:E11)</f>
        <v>506</v>
      </c>
    </row>
    <row r="12" customFormat="false" ht="15" hidden="false" customHeight="true" outlineLevel="0" collapsed="false">
      <c r="B12" s="5" t="s">
        <v>78</v>
      </c>
      <c r="C12" s="16" t="n">
        <f aca="false">SUM(C7:C11)</f>
        <v>322</v>
      </c>
      <c r="D12" s="16" t="n">
        <f aca="false">SUM(D7:D11)</f>
        <v>320</v>
      </c>
      <c r="E12" s="16" t="n">
        <f aca="false">SUM(E7:E11)</f>
        <v>331</v>
      </c>
      <c r="F12" s="16" t="n">
        <f aca="false">SUM(F7:F11)</f>
        <v>973</v>
      </c>
    </row>
    <row r="14" customFormat="false" ht="15" hidden="false" customHeight="true" outlineLevel="0" collapsed="false">
      <c r="B14" s="4" t="s">
        <v>79</v>
      </c>
    </row>
    <row r="15" customFormat="false" ht="15" hidden="false" customHeight="true" outlineLevel="0" collapsed="false">
      <c r="B15" s="11" t="s">
        <v>80</v>
      </c>
      <c r="C15" s="9" t="n">
        <f aca="false">IF(Assumptions!$C$16="",0,C7*Assumptions!$C$10/Assumptions!$C$16)</f>
        <v>4.33333333333333</v>
      </c>
      <c r="D15" s="9" t="n">
        <f aca="false">IF(Assumptions!$C$16="",0,D7*Assumptions!$C$10/Assumptions!$C$16)</f>
        <v>0</v>
      </c>
      <c r="E15" s="9" t="n">
        <f aca="false">IF(Assumptions!$C$16="",0,E7*Assumptions!$C$10/Assumptions!$C$16)</f>
        <v>0</v>
      </c>
      <c r="F15" s="9" t="n">
        <f aca="false">SUM(C15:E15)</f>
        <v>4.33333333333333</v>
      </c>
    </row>
    <row r="16" customFormat="false" ht="15" hidden="false" customHeight="true" outlineLevel="0" collapsed="false">
      <c r="B16" s="11" t="s">
        <v>81</v>
      </c>
      <c r="C16" s="9" t="n">
        <f aca="false">IF(Assumptions!$C$12="",0,C8*Assumptions!$C$10/Assumptions!$C$12)</f>
        <v>38</v>
      </c>
      <c r="D16" s="9" t="n">
        <f aca="false">IF(Assumptions!$C$12="",0,D8*Assumptions!$C$10/Assumptions!$C$12)</f>
        <v>11.3333333333333</v>
      </c>
      <c r="E16" s="9" t="n">
        <f aca="false">IF(Assumptions!$C$12="",0,E8*Assumptions!$C$10/Assumptions!$C$12)</f>
        <v>18.3333333333333</v>
      </c>
      <c r="F16" s="9" t="n">
        <f aca="false">SUM(C16:E16)</f>
        <v>67.6666666666667</v>
      </c>
    </row>
    <row r="17" customFormat="false" ht="15" hidden="false" customHeight="true" outlineLevel="0" collapsed="false">
      <c r="B17" s="11" t="s">
        <v>82</v>
      </c>
      <c r="C17" s="9" t="n">
        <f aca="false">IF(Assumptions!$C$13="",0,C9*Assumptions!$C$10/Assumptions!$C$13)</f>
        <v>29.4</v>
      </c>
      <c r="D17" s="9" t="n">
        <f aca="false">IF(Assumptions!$C$13="",0,D9*Assumptions!$C$10/Assumptions!$C$13)</f>
        <v>9.8</v>
      </c>
      <c r="E17" s="9" t="n">
        <f aca="false">IF(Assumptions!$C$13="",0,E9*Assumptions!$C$10/Assumptions!$C$13)</f>
        <v>11.4333333333333</v>
      </c>
      <c r="F17" s="9" t="n">
        <f aca="false">SUM(C17:E17)</f>
        <v>50.6333333333333</v>
      </c>
    </row>
    <row r="18" customFormat="false" ht="15" hidden="false" customHeight="true" outlineLevel="0" collapsed="false">
      <c r="B18" s="11" t="s">
        <v>83</v>
      </c>
      <c r="C18" s="9" t="n">
        <f aca="false">IF(Assumptions!$C$14="",0,C10*Assumptions!$C$10/Assumptions!$C$14)</f>
        <v>2.8</v>
      </c>
      <c r="D18" s="9" t="n">
        <f aca="false">IF(Assumptions!$C$14="",0,D10*Assumptions!$C$10/Assumptions!$C$14)</f>
        <v>1.55555555555556</v>
      </c>
      <c r="E18" s="9" t="n">
        <f aca="false">IF(Assumptions!$C$14="",0,E10*Assumptions!$C$10/Assumptions!$C$14)</f>
        <v>0.933333333333333</v>
      </c>
      <c r="F18" s="9" t="n">
        <f aca="false">SUM(C18:E18)</f>
        <v>5.28888888888889</v>
      </c>
    </row>
    <row r="19" customFormat="false" ht="15" hidden="false" customHeight="true" outlineLevel="0" collapsed="false">
      <c r="B19" s="11" t="s">
        <v>84</v>
      </c>
      <c r="C19" s="9" t="n">
        <f aca="false">IF(Assumptions!$C$15="",0,C11*Assumptions!$C$10/Assumptions!$C$15)</f>
        <v>7.93333333333333</v>
      </c>
      <c r="D19" s="9" t="n">
        <f aca="false">IF(Assumptions!$C$15="",0,D11*Assumptions!$C$10/Assumptions!$C$15)</f>
        <v>36.4</v>
      </c>
      <c r="E19" s="9" t="n">
        <f aca="false">IF(Assumptions!$C$15="",0,E11*Assumptions!$C$10/Assumptions!$C$15)</f>
        <v>34.3777777777778</v>
      </c>
      <c r="F19" s="9" t="n">
        <f aca="false">SUM(C19:E19)</f>
        <v>78.7111111111111</v>
      </c>
    </row>
    <row r="20" customFormat="false" ht="15" hidden="false" customHeight="true" outlineLevel="0" collapsed="false">
      <c r="B20" s="5" t="s">
        <v>85</v>
      </c>
      <c r="C20" s="17" t="n">
        <f aca="false">SUM(C15:C19)</f>
        <v>82.4666666666667</v>
      </c>
      <c r="D20" s="17" t="n">
        <f aca="false">SUM(D15:D19)</f>
        <v>59.0888888888889</v>
      </c>
      <c r="E20" s="17" t="n">
        <f aca="false">SUM(E15:E19)</f>
        <v>65.0777777777778</v>
      </c>
      <c r="F20" s="17" t="n">
        <f aca="false">SUM(F15:F19)</f>
        <v>206.633333333333</v>
      </c>
    </row>
    <row r="21" customFormat="false" ht="15" hidden="false" customHeight="true" outlineLevel="0" collapsed="false">
      <c r="B21" s="11" t="s">
        <v>86</v>
      </c>
      <c r="C21" s="10" t="n">
        <f aca="false">C20/Assumptions!$C$8</f>
        <v>1.64933333333333</v>
      </c>
      <c r="D21" s="10" t="n">
        <f aca="false">D20/Assumptions!$C$8</f>
        <v>1.18177777777778</v>
      </c>
      <c r="E21" s="10" t="n">
        <f aca="false">E20/Assumptions!$C$8</f>
        <v>1.30155555555556</v>
      </c>
      <c r="F21" s="18" t="n">
        <f aca="false">F20/Assumptions!$C$8</f>
        <v>4.13266666666667</v>
      </c>
    </row>
    <row r="22" customFormat="false" ht="15" hidden="false" customHeight="true" outlineLevel="0" collapsed="false">
      <c r="B22" s="11" t="s">
        <v>87</v>
      </c>
      <c r="C22" s="10" t="n">
        <f aca="false">C20/Assumptions!$C$9</f>
        <v>1.88280060882801</v>
      </c>
      <c r="D22" s="10" t="n">
        <f aca="false">D20/Assumptions!$C$9</f>
        <v>1.34906139015728</v>
      </c>
      <c r="E22" s="10" t="n">
        <f aca="false">E20/Assumptions!$C$9</f>
        <v>1.48579401319127</v>
      </c>
      <c r="F22" s="18" t="n">
        <f aca="false">F20/Assumptions!$C$9</f>
        <v>4.71765601217656</v>
      </c>
    </row>
    <row r="24" customFormat="false" ht="15" hidden="false" customHeight="true" outlineLevel="0" collapsed="false">
      <c r="B24" s="4" t="s">
        <v>88</v>
      </c>
    </row>
    <row r="25" customFormat="false" ht="15" hidden="false" customHeight="true" outlineLevel="0" collapsed="false">
      <c r="B25" s="11" t="s">
        <v>80</v>
      </c>
      <c r="C25" s="9" t="n">
        <f aca="false">IF(Assumptions!$C$22="",0,C7*Assumptions!$C$10/Assumptions!$C$22)</f>
        <v>6.5</v>
      </c>
      <c r="D25" s="9" t="n">
        <f aca="false">IF(Assumptions!$C$22="",0,D7*Assumptions!$C$10/Assumptions!$C$22)</f>
        <v>0</v>
      </c>
      <c r="E25" s="9" t="n">
        <f aca="false">IF(Assumptions!$C$22="",0,E7*Assumptions!$C$10/Assumptions!$C$22)</f>
        <v>0</v>
      </c>
      <c r="F25" s="9" t="n">
        <f aca="false">SUM(C25:E25)</f>
        <v>6.5</v>
      </c>
    </row>
    <row r="26" customFormat="false" ht="15" hidden="false" customHeight="true" outlineLevel="0" collapsed="false">
      <c r="B26" s="11" t="s">
        <v>81</v>
      </c>
      <c r="C26" s="9" t="n">
        <f aca="false">IF(Assumptions!$C$18="",0,C8*Assumptions!$C$10/Assumptions!$C$18)</f>
        <v>57</v>
      </c>
      <c r="D26" s="9" t="n">
        <f aca="false">IF(Assumptions!$C$18="",0,D8*Assumptions!$C$10/Assumptions!$C$18)</f>
        <v>17</v>
      </c>
      <c r="E26" s="9" t="n">
        <f aca="false">IF(Assumptions!$C$18="",0,E8*Assumptions!$C$10/Assumptions!$C$18)</f>
        <v>27.5</v>
      </c>
      <c r="F26" s="9" t="n">
        <f aca="false">SUM(C26:E26)</f>
        <v>101.5</v>
      </c>
    </row>
    <row r="27" customFormat="false" ht="15" hidden="false" customHeight="true" outlineLevel="0" collapsed="false">
      <c r="B27" s="11" t="s">
        <v>82</v>
      </c>
      <c r="C27" s="9" t="n">
        <f aca="false">IF(Assumptions!$C$19="",0,C9*Assumptions!$C$10/Assumptions!$C$19)</f>
        <v>29.4</v>
      </c>
      <c r="D27" s="9" t="n">
        <f aca="false">IF(Assumptions!$C$19="",0,D9*Assumptions!$C$10/Assumptions!$C$19)</f>
        <v>9.8</v>
      </c>
      <c r="E27" s="9" t="n">
        <f aca="false">IF(Assumptions!$C$19="",0,E9*Assumptions!$C$10/Assumptions!$C$19)</f>
        <v>11.4333333333333</v>
      </c>
      <c r="F27" s="9" t="n">
        <f aca="false">SUM(C27:E27)</f>
        <v>50.6333333333333</v>
      </c>
    </row>
    <row r="28" customFormat="false" ht="15" hidden="false" customHeight="true" outlineLevel="0" collapsed="false">
      <c r="B28" s="11" t="s">
        <v>83</v>
      </c>
      <c r="C28" s="9" t="n">
        <f aca="false">IF(Assumptions!$C$20="",0,C10*Assumptions!$C$10/Assumptions!$C$20)</f>
        <v>0</v>
      </c>
      <c r="D28" s="9" t="n">
        <f aca="false">IF(Assumptions!$C$20="",0,D10*Assumptions!$C$10/Assumptions!$C$20)</f>
        <v>0</v>
      </c>
      <c r="E28" s="9" t="n">
        <f aca="false">IF(Assumptions!$C$20="",0,E10*Assumptions!$C$10/Assumptions!$C$20)</f>
        <v>0</v>
      </c>
      <c r="F28" s="9" t="n">
        <f aca="false">SUM(C28:E28)</f>
        <v>0</v>
      </c>
    </row>
    <row r="29" customFormat="false" ht="15" hidden="false" customHeight="true" outlineLevel="0" collapsed="false">
      <c r="B29" s="11" t="s">
        <v>84</v>
      </c>
      <c r="C29" s="9" t="n">
        <f aca="false">IF(Assumptions!$C$21="",0,C11*Assumptions!$C$10/Assumptions!$C$21)</f>
        <v>5.95</v>
      </c>
      <c r="D29" s="9" t="n">
        <f aca="false">IF(Assumptions!$C$21="",0,D11*Assumptions!$C$10/Assumptions!$C$21)</f>
        <v>27.3</v>
      </c>
      <c r="E29" s="9" t="n">
        <f aca="false">IF(Assumptions!$C$21="",0,E11*Assumptions!$C$10/Assumptions!$C$21)</f>
        <v>25.7833333333333</v>
      </c>
      <c r="F29" s="9" t="n">
        <f aca="false">SUM(C29:E29)</f>
        <v>59.0333333333333</v>
      </c>
    </row>
    <row r="30" customFormat="false" ht="15" hidden="false" customHeight="true" outlineLevel="0" collapsed="false">
      <c r="B30" s="5" t="s">
        <v>85</v>
      </c>
      <c r="C30" s="17" t="n">
        <f aca="false">SUM(C25:C29)</f>
        <v>98.85</v>
      </c>
      <c r="D30" s="17" t="n">
        <f aca="false">SUM(D25:D29)</f>
        <v>54.1</v>
      </c>
      <c r="E30" s="17" t="n">
        <f aca="false">SUM(E25:E29)</f>
        <v>64.7166666666667</v>
      </c>
      <c r="F30" s="17" t="n">
        <f aca="false">SUM(F25:F29)</f>
        <v>217.666666666667</v>
      </c>
    </row>
    <row r="31" customFormat="false" ht="15" hidden="false" customHeight="true" outlineLevel="0" collapsed="false">
      <c r="B31" s="11" t="s">
        <v>86</v>
      </c>
      <c r="C31" s="10" t="n">
        <f aca="false">C30/Assumptions!$C$8</f>
        <v>1.977</v>
      </c>
      <c r="D31" s="10" t="n">
        <f aca="false">D30/Assumptions!$C$8</f>
        <v>1.082</v>
      </c>
      <c r="E31" s="10" t="n">
        <f aca="false">E30/Assumptions!$C$8</f>
        <v>1.29433333333333</v>
      </c>
      <c r="F31" s="18" t="n">
        <f aca="false">F30/Assumptions!$C$8</f>
        <v>4.35333333333333</v>
      </c>
    </row>
    <row r="32" customFormat="false" ht="15" hidden="false" customHeight="true" outlineLevel="0" collapsed="false">
      <c r="B32" s="11" t="s">
        <v>87</v>
      </c>
      <c r="C32" s="10" t="n">
        <f aca="false">C30/Assumptions!$C$9</f>
        <v>2.25684931506849</v>
      </c>
      <c r="D32" s="10" t="n">
        <f aca="false">D30/Assumptions!$C$9</f>
        <v>1.2351598173516</v>
      </c>
      <c r="E32" s="10" t="n">
        <f aca="false">E30/Assumptions!$C$9</f>
        <v>1.47754946727549</v>
      </c>
      <c r="F32" s="18" t="n">
        <f aca="false">F30/Assumptions!$C$9</f>
        <v>4.96955859969559</v>
      </c>
    </row>
    <row r="34" customFormat="false" ht="15" hidden="false" customHeight="true" outlineLevel="0" collapsed="false">
      <c r="B34" s="4" t="s">
        <v>89</v>
      </c>
    </row>
    <row r="35" customFormat="false" ht="15" hidden="false" customHeight="true" outlineLevel="0" collapsed="false">
      <c r="B35" s="11" t="s">
        <v>80</v>
      </c>
      <c r="C35" s="9" t="n">
        <f aca="false">IF(Assumptions!$C$28="",0,C7*Assumptions!$C$10/Assumptions!$C$28)</f>
        <v>3.03333333333333</v>
      </c>
      <c r="D35" s="9" t="n">
        <f aca="false">IF(Assumptions!$C$28="",0,D7*Assumptions!$C$10/Assumptions!$C$28)</f>
        <v>0</v>
      </c>
      <c r="E35" s="9" t="n">
        <f aca="false">IF(Assumptions!$C$28="",0,E7*Assumptions!$C$10/Assumptions!$C$28)</f>
        <v>0</v>
      </c>
      <c r="F35" s="9" t="n">
        <f aca="false">SUM(C35:E35)</f>
        <v>3.03333333333333</v>
      </c>
    </row>
    <row r="36" customFormat="false" ht="15" hidden="false" customHeight="true" outlineLevel="0" collapsed="false">
      <c r="B36" s="11" t="s">
        <v>81</v>
      </c>
      <c r="C36" s="9" t="n">
        <f aca="false">IF(Assumptions!$C$24="",0,C8*Assumptions!$C$10/Assumptions!$C$24)</f>
        <v>38</v>
      </c>
      <c r="D36" s="9" t="n">
        <f aca="false">IF(Assumptions!$C$24="",0,D8*Assumptions!$C$10/Assumptions!$C$24)</f>
        <v>11.3333333333333</v>
      </c>
      <c r="E36" s="9" t="n">
        <f aca="false">IF(Assumptions!$C$24="",0,E8*Assumptions!$C$10/Assumptions!$C$24)</f>
        <v>18.3333333333333</v>
      </c>
      <c r="F36" s="9" t="n">
        <f aca="false">SUM(C36:E36)</f>
        <v>67.6666666666667</v>
      </c>
    </row>
    <row r="37" customFormat="false" ht="15" hidden="false" customHeight="true" outlineLevel="0" collapsed="false">
      <c r="B37" s="11" t="s">
        <v>82</v>
      </c>
      <c r="C37" s="9" t="n">
        <f aca="false">IF(Assumptions!$C$25="",0,C9*Assumptions!$C$10/Assumptions!$C$25)</f>
        <v>29.4</v>
      </c>
      <c r="D37" s="9" t="n">
        <f aca="false">IF(Assumptions!$C$25="",0,D9*Assumptions!$C$10/Assumptions!$C$25)</f>
        <v>9.8</v>
      </c>
      <c r="E37" s="9" t="n">
        <f aca="false">IF(Assumptions!$C$25="",0,E9*Assumptions!$C$10/Assumptions!$C$25)</f>
        <v>11.4333333333333</v>
      </c>
      <c r="F37" s="9" t="n">
        <f aca="false">SUM(C37:E37)</f>
        <v>50.6333333333333</v>
      </c>
    </row>
    <row r="38" customFormat="false" ht="15" hidden="false" customHeight="true" outlineLevel="0" collapsed="false">
      <c r="B38" s="11" t="s">
        <v>83</v>
      </c>
      <c r="C38" s="9" t="n">
        <f aca="false">IF(Assumptions!$C$26="",0,C10*Assumptions!$C$10/Assumptions!$C$26)</f>
        <v>2.8</v>
      </c>
      <c r="D38" s="9" t="n">
        <f aca="false">IF(Assumptions!$C$26="",0,D10*Assumptions!$C$10/Assumptions!$C$26)</f>
        <v>1.55555555555556</v>
      </c>
      <c r="E38" s="9" t="n">
        <f aca="false">IF(Assumptions!$C$26="",0,E10*Assumptions!$C$10/Assumptions!$C$26)</f>
        <v>0.933333333333333</v>
      </c>
      <c r="F38" s="9" t="n">
        <f aca="false">SUM(C38:E38)</f>
        <v>5.28888888888889</v>
      </c>
    </row>
    <row r="39" customFormat="false" ht="15" hidden="false" customHeight="true" outlineLevel="0" collapsed="false">
      <c r="B39" s="11" t="s">
        <v>84</v>
      </c>
      <c r="C39" s="9" t="n">
        <f aca="false">IF(Assumptions!$C$27="",0,C11*Assumptions!$C$10/Assumptions!$C$27)</f>
        <v>5.95</v>
      </c>
      <c r="D39" s="9" t="n">
        <f aca="false">IF(Assumptions!$C$27="",0,D11*Assumptions!$C$10/Assumptions!$C$27)</f>
        <v>27.3</v>
      </c>
      <c r="E39" s="9" t="n">
        <f aca="false">IF(Assumptions!$C$27="",0,E11*Assumptions!$C$10/Assumptions!$C$27)</f>
        <v>25.7833333333333</v>
      </c>
      <c r="F39" s="9" t="n">
        <f aca="false">SUM(C39:E39)</f>
        <v>59.0333333333333</v>
      </c>
    </row>
    <row r="40" customFormat="false" ht="15" hidden="false" customHeight="true" outlineLevel="0" collapsed="false">
      <c r="B40" s="5" t="s">
        <v>85</v>
      </c>
      <c r="C40" s="17" t="n">
        <f aca="false">SUM(C35:C39)</f>
        <v>79.1833333333333</v>
      </c>
      <c r="D40" s="17" t="n">
        <f aca="false">SUM(D35:D39)</f>
        <v>49.9888888888889</v>
      </c>
      <c r="E40" s="17" t="n">
        <f aca="false">SUM(E35:E39)</f>
        <v>56.4833333333333</v>
      </c>
      <c r="F40" s="17" t="n">
        <f aca="false">SUM(F35:F39)</f>
        <v>185.655555555556</v>
      </c>
    </row>
    <row r="41" customFormat="false" ht="15" hidden="false" customHeight="true" outlineLevel="0" collapsed="false">
      <c r="B41" s="11" t="s">
        <v>86</v>
      </c>
      <c r="C41" s="10" t="n">
        <f aca="false">C40/Assumptions!$C$8</f>
        <v>1.58366666666667</v>
      </c>
      <c r="D41" s="10" t="n">
        <f aca="false">D40/Assumptions!$C$8</f>
        <v>0.999777777777778</v>
      </c>
      <c r="E41" s="10" t="n">
        <f aca="false">E40/Assumptions!$C$8</f>
        <v>1.12966666666667</v>
      </c>
      <c r="F41" s="18" t="n">
        <f aca="false">F40/Assumptions!$C$8</f>
        <v>3.71311111111111</v>
      </c>
    </row>
    <row r="42" customFormat="false" ht="15" hidden="false" customHeight="true" outlineLevel="0" collapsed="false">
      <c r="B42" s="11" t="s">
        <v>87</v>
      </c>
      <c r="C42" s="10" t="n">
        <f aca="false">C40/Assumptions!$C$9</f>
        <v>1.80783866057839</v>
      </c>
      <c r="D42" s="10" t="n">
        <f aca="false">D40/Assumptions!$C$9</f>
        <v>1.14129883307966</v>
      </c>
      <c r="E42" s="10" t="n">
        <f aca="false">E40/Assumptions!$C$9</f>
        <v>1.28957382039574</v>
      </c>
      <c r="F42" s="18" t="n">
        <f aca="false">F40/Assumptions!$C$9</f>
        <v>4.23871131405378</v>
      </c>
    </row>
  </sheetData>
  <mergeCells count="1"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2" min="2" style="1" width="55.5"/>
    <col collapsed="false" customWidth="true" hidden="false" outlineLevel="0" max="8" min="3" style="1" width="16.39"/>
  </cols>
  <sheetData>
    <row r="2" customFormat="false" ht="17.25" hidden="false" customHeight="true" outlineLevel="0" collapsed="false">
      <c r="B2" s="2" t="s">
        <v>90</v>
      </c>
    </row>
    <row r="3" customFormat="false" ht="27.75" hidden="false" customHeight="true" outlineLevel="0" collapsed="false">
      <c r="B3" s="12" t="s">
        <v>91</v>
      </c>
      <c r="C3" s="12"/>
      <c r="D3" s="12"/>
      <c r="E3" s="12"/>
      <c r="F3" s="12"/>
      <c r="G3" s="12"/>
    </row>
    <row r="5" customFormat="false" ht="15" hidden="false" customHeight="true" outlineLevel="0" collapsed="false">
      <c r="B5" s="4" t="s">
        <v>92</v>
      </c>
    </row>
    <row r="6" customFormat="false" ht="15" hidden="false" customHeight="true" outlineLevel="0" collapsed="false">
      <c r="B6" s="15" t="s">
        <v>93</v>
      </c>
      <c r="C6" s="15" t="s">
        <v>94</v>
      </c>
      <c r="D6" s="15" t="s">
        <v>95</v>
      </c>
      <c r="E6" s="15" t="s">
        <v>96</v>
      </c>
    </row>
    <row r="7" customFormat="false" ht="15" hidden="false" customHeight="true" outlineLevel="0" collapsed="false">
      <c r="B7" s="11" t="s">
        <v>97</v>
      </c>
      <c r="C7" s="8" t="n">
        <f aca="false">Assumptions!$C$18</f>
        <v>14</v>
      </c>
      <c r="D7" s="10" t="n">
        <f aca="false">Assumptions!$C$10/Assumptions!$C$18</f>
        <v>0.5</v>
      </c>
      <c r="E7" s="8" t="n">
        <f aca="false">ROUND(Assumptions!$C$8/D7,0)</f>
        <v>100</v>
      </c>
    </row>
    <row r="8" customFormat="false" ht="15" hidden="false" customHeight="true" outlineLevel="0" collapsed="false">
      <c r="B8" s="11" t="s">
        <v>98</v>
      </c>
      <c r="C8" s="8" t="n">
        <f aca="false">Assumptions!$C$12</f>
        <v>21</v>
      </c>
      <c r="D8" s="10" t="n">
        <f aca="false">Assumptions!$C$10/Assumptions!$C$12</f>
        <v>0.333333333333333</v>
      </c>
      <c r="E8" s="8" t="n">
        <f aca="false">ROUND(Assumptions!$C$8/D8,0)</f>
        <v>150</v>
      </c>
    </row>
    <row r="9" customFormat="false" ht="15" hidden="false" customHeight="true" outlineLevel="0" collapsed="false">
      <c r="B9" s="11" t="s">
        <v>99</v>
      </c>
      <c r="C9" s="8" t="n">
        <f aca="false">Assumptions!$C$13</f>
        <v>30</v>
      </c>
      <c r="D9" s="10" t="n">
        <f aca="false">Assumptions!$C$10/Assumptions!$C$13</f>
        <v>0.233333333333333</v>
      </c>
      <c r="E9" s="8" t="n">
        <f aca="false">ROUND(Assumptions!$C$8/D9,0)</f>
        <v>214</v>
      </c>
    </row>
    <row r="10" customFormat="false" ht="15" hidden="false" customHeight="true" outlineLevel="0" collapsed="false">
      <c r="B10" s="11" t="s">
        <v>100</v>
      </c>
      <c r="C10" s="8" t="n">
        <f aca="false">Assumptions!$C$14</f>
        <v>45</v>
      </c>
      <c r="D10" s="10" t="n">
        <f aca="false">Assumptions!$C$10/Assumptions!$C$14</f>
        <v>0.155555555555556</v>
      </c>
      <c r="E10" s="8" t="n">
        <f aca="false">ROUND(Assumptions!$C$8/D10,0)</f>
        <v>321</v>
      </c>
    </row>
    <row r="11" customFormat="false" ht="15" hidden="false" customHeight="true" outlineLevel="0" collapsed="false">
      <c r="B11" s="11" t="s">
        <v>101</v>
      </c>
      <c r="C11" s="8" t="n">
        <f aca="false">Assumptions!$C$15</f>
        <v>45</v>
      </c>
      <c r="D11" s="10" t="n">
        <f aca="false">Assumptions!$C$10/Assumptions!$C$15</f>
        <v>0.155555555555556</v>
      </c>
      <c r="E11" s="8" t="n">
        <f aca="false">ROUND(Assumptions!$C$8/D11,0)</f>
        <v>321</v>
      </c>
    </row>
    <row r="12" customFormat="false" ht="15" hidden="false" customHeight="true" outlineLevel="0" collapsed="false">
      <c r="B12" s="11" t="s">
        <v>102</v>
      </c>
      <c r="C12" s="8" t="n">
        <f aca="false">Assumptions!$C$27</f>
        <v>60</v>
      </c>
      <c r="D12" s="10" t="n">
        <f aca="false">Assumptions!$C$10/Assumptions!$C$27</f>
        <v>0.116666666666667</v>
      </c>
      <c r="E12" s="8" t="n">
        <f aca="false">ROUND(Assumptions!$C$8/D12,0)</f>
        <v>429</v>
      </c>
    </row>
    <row r="13" customFormat="false" ht="15" hidden="false" customHeight="true" outlineLevel="0" collapsed="false">
      <c r="B13" s="11" t="s">
        <v>103</v>
      </c>
      <c r="C13" s="8" t="n">
        <f aca="false">Assumptions!$C$28</f>
        <v>30</v>
      </c>
      <c r="D13" s="10" t="n">
        <f aca="false">Assumptions!$C$10/Assumptions!$C$28</f>
        <v>0.233333333333333</v>
      </c>
      <c r="E13" s="8" t="n">
        <f aca="false">ROUND(Assumptions!$C$8/D13,0)</f>
        <v>214</v>
      </c>
    </row>
    <row r="15" customFormat="false" ht="15" hidden="false" customHeight="true" outlineLevel="0" collapsed="false">
      <c r="B15" s="4" t="s">
        <v>104</v>
      </c>
    </row>
    <row r="16" customFormat="false" ht="15" hidden="false" customHeight="true" outlineLevel="0" collapsed="false">
      <c r="B16" s="15" t="s">
        <v>105</v>
      </c>
      <c r="C16" s="15" t="s">
        <v>106</v>
      </c>
      <c r="D16" s="15" t="s">
        <v>107</v>
      </c>
      <c r="E16" s="15" t="s">
        <v>108</v>
      </c>
      <c r="F16" s="15" t="s">
        <v>77</v>
      </c>
      <c r="G16" s="15" t="s">
        <v>78</v>
      </c>
      <c r="H16" s="15" t="s">
        <v>109</v>
      </c>
    </row>
    <row r="17" customFormat="false" ht="15" hidden="false" customHeight="true" outlineLevel="0" collapsed="false">
      <c r="B17" s="11" t="s">
        <v>110</v>
      </c>
      <c r="C17" s="13" t="n">
        <v>55</v>
      </c>
      <c r="D17" s="13" t="n">
        <v>55</v>
      </c>
      <c r="E17" s="13" t="n">
        <v>10</v>
      </c>
      <c r="F17" s="13" t="n">
        <v>90</v>
      </c>
      <c r="G17" s="16" t="n">
        <f aca="false">SUM(C17:F17)</f>
        <v>210</v>
      </c>
      <c r="H17" s="9" t="n">
        <f aca="false">C17*Assumptions!$C$10/Assumptions!$C$12+D17*Assumptions!$C$10/Assumptions!$C$13+E17*Assumptions!$C$10/Assumptions!$C$14+F17*Assumptions!$C$10/Assumptions!$C$27</f>
        <v>43.2222222222222</v>
      </c>
    </row>
    <row r="18" customFormat="false" ht="15" hidden="false" customHeight="true" outlineLevel="0" collapsed="false">
      <c r="B18" s="11" t="s">
        <v>111</v>
      </c>
      <c r="C18" s="13" t="n">
        <v>40</v>
      </c>
      <c r="D18" s="13" t="n">
        <v>55</v>
      </c>
      <c r="E18" s="13" t="n">
        <v>10</v>
      </c>
      <c r="F18" s="13" t="n">
        <v>160</v>
      </c>
      <c r="G18" s="16" t="n">
        <f aca="false">SUM(C18:F18)</f>
        <v>265</v>
      </c>
      <c r="H18" s="9" t="n">
        <f aca="false">C18*Assumptions!$C$10/Assumptions!$C$12+D18*Assumptions!$C$10/Assumptions!$C$13+E18*Assumptions!$C$10/Assumptions!$C$14+F18*Assumptions!$C$10/Assumptions!$C$27</f>
        <v>46.3888888888889</v>
      </c>
    </row>
    <row r="19" customFormat="false" ht="15" hidden="false" customHeight="true" outlineLevel="0" collapsed="false">
      <c r="B19" s="11" t="s">
        <v>112</v>
      </c>
      <c r="C19" s="13" t="n">
        <v>25</v>
      </c>
      <c r="D19" s="13" t="n">
        <v>40</v>
      </c>
      <c r="E19" s="13" t="n">
        <v>10</v>
      </c>
      <c r="F19" s="13" t="n">
        <v>250</v>
      </c>
      <c r="G19" s="16" t="n">
        <f aca="false">SUM(C19:F19)</f>
        <v>325</v>
      </c>
      <c r="H19" s="9" t="n">
        <f aca="false">C19*Assumptions!$C$10/Assumptions!$C$12+D19*Assumptions!$C$10/Assumptions!$C$13+E19*Assumptions!$C$10/Assumptions!$C$14+F19*Assumptions!$C$10/Assumptions!$C$27</f>
        <v>48.3888888888889</v>
      </c>
    </row>
    <row r="20" customFormat="false" ht="15" hidden="false" customHeight="true" outlineLevel="0" collapsed="false">
      <c r="B20" s="11" t="s">
        <v>113</v>
      </c>
      <c r="C20" s="13" t="n">
        <v>40</v>
      </c>
      <c r="D20" s="13" t="n">
        <v>50</v>
      </c>
      <c r="E20" s="13" t="n">
        <v>0</v>
      </c>
      <c r="F20" s="13" t="n">
        <v>90</v>
      </c>
      <c r="G20" s="16" t="n">
        <f aca="false">SUM(C20:F20)</f>
        <v>180</v>
      </c>
      <c r="H20" s="9" t="n">
        <f aca="false">C20*Assumptions!$C$10/Assumptions!$C$18+D20*Assumptions!$C$10/Assumptions!$C$13+E20*Assumptions!$C$10/Assumptions!$C$14+F20*Assumptions!$C$10/Assumptions!$C$27</f>
        <v>42.1666666666667</v>
      </c>
    </row>
    <row r="21" customFormat="false" ht="25.5" hidden="false" customHeight="true" outlineLevel="0" collapsed="false">
      <c r="B21" s="12" t="s">
        <v>114</v>
      </c>
      <c r="C21" s="12"/>
      <c r="D21" s="12"/>
      <c r="E21" s="12"/>
      <c r="F21" s="12"/>
      <c r="G21" s="12"/>
      <c r="H21" s="12"/>
    </row>
    <row r="23" customFormat="false" ht="15" hidden="false" customHeight="true" outlineLevel="0" collapsed="false">
      <c r="B23" s="4" t="s">
        <v>115</v>
      </c>
    </row>
    <row r="24" customFormat="false" ht="15" hidden="false" customHeight="true" outlineLevel="0" collapsed="false">
      <c r="B24" s="19" t="s">
        <v>116</v>
      </c>
      <c r="C24" s="19"/>
      <c r="D24" s="19"/>
      <c r="E24" s="19"/>
      <c r="F24" s="19"/>
      <c r="G24" s="19"/>
      <c r="H24" s="19"/>
    </row>
    <row r="25" customFormat="false" ht="15" hidden="false" customHeight="true" outlineLevel="0" collapsed="false">
      <c r="B25" s="19" t="s">
        <v>117</v>
      </c>
      <c r="C25" s="19"/>
      <c r="D25" s="19"/>
      <c r="E25" s="19"/>
      <c r="F25" s="19"/>
      <c r="G25" s="19"/>
      <c r="H25" s="19"/>
    </row>
    <row r="26" customFormat="false" ht="15" hidden="false" customHeight="true" outlineLevel="0" collapsed="false">
      <c r="B26" s="19" t="s">
        <v>118</v>
      </c>
      <c r="C26" s="19"/>
      <c r="D26" s="19"/>
      <c r="E26" s="19"/>
      <c r="F26" s="19"/>
      <c r="G26" s="19"/>
      <c r="H26" s="19"/>
    </row>
    <row r="27" customFormat="false" ht="15" hidden="false" customHeight="true" outlineLevel="0" collapsed="false">
      <c r="B27" s="19" t="s">
        <v>119</v>
      </c>
      <c r="C27" s="19"/>
      <c r="D27" s="19"/>
      <c r="E27" s="19"/>
      <c r="F27" s="19"/>
      <c r="G27" s="19"/>
      <c r="H27" s="19"/>
    </row>
  </sheetData>
  <mergeCells count="6">
    <mergeCell ref="B3:G3"/>
    <mergeCell ref="B21:H21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2" min="2" style="1" width="52.97"/>
    <col collapsed="false" customWidth="true" hidden="false" outlineLevel="0" max="3" min="3" style="1" width="88.29"/>
  </cols>
  <sheetData>
    <row r="2" customFormat="false" ht="17.25" hidden="false" customHeight="true" outlineLevel="0" collapsed="false">
      <c r="B2" s="2" t="s">
        <v>120</v>
      </c>
    </row>
    <row r="5" customFormat="false" ht="15" hidden="false" customHeight="true" outlineLevel="0" collapsed="false">
      <c r="B5" s="4" t="s">
        <v>121</v>
      </c>
    </row>
    <row r="6" customFormat="false" ht="25.5" hidden="false" customHeight="true" outlineLevel="0" collapsed="false">
      <c r="B6" s="5" t="s">
        <v>69</v>
      </c>
      <c r="C6" s="19" t="s">
        <v>122</v>
      </c>
      <c r="D6" s="19"/>
      <c r="E6" s="19"/>
      <c r="F6" s="19"/>
      <c r="G6" s="19"/>
      <c r="H6" s="19"/>
    </row>
    <row r="7" customFormat="false" ht="25.5" hidden="false" customHeight="true" outlineLevel="0" collapsed="false">
      <c r="B7" s="5" t="s">
        <v>70</v>
      </c>
      <c r="C7" s="19" t="s">
        <v>123</v>
      </c>
      <c r="D7" s="19"/>
      <c r="E7" s="19"/>
      <c r="F7" s="19"/>
      <c r="G7" s="19"/>
      <c r="H7" s="19"/>
    </row>
    <row r="8" customFormat="false" ht="25.5" hidden="false" customHeight="true" outlineLevel="0" collapsed="false">
      <c r="B8" s="5" t="s">
        <v>71</v>
      </c>
      <c r="C8" s="19" t="s">
        <v>124</v>
      </c>
      <c r="D8" s="19"/>
      <c r="E8" s="19"/>
      <c r="F8" s="19"/>
      <c r="G8" s="19"/>
      <c r="H8" s="19"/>
    </row>
    <row r="9" customFormat="false" ht="25.5" hidden="false" customHeight="true" outlineLevel="0" collapsed="false">
      <c r="B9" s="5" t="s">
        <v>125</v>
      </c>
      <c r="C9" s="19" t="s">
        <v>126</v>
      </c>
      <c r="D9" s="19"/>
      <c r="E9" s="19"/>
      <c r="F9" s="19"/>
      <c r="G9" s="19"/>
      <c r="H9" s="19"/>
    </row>
    <row r="11" customFormat="false" ht="15" hidden="false" customHeight="true" outlineLevel="0" collapsed="false">
      <c r="B11" s="4" t="s">
        <v>127</v>
      </c>
    </row>
    <row r="12" customFormat="false" ht="25.5" hidden="false" customHeight="true" outlineLevel="0" collapsed="false">
      <c r="B12" s="5" t="s">
        <v>128</v>
      </c>
      <c r="C12" s="19" t="s">
        <v>129</v>
      </c>
      <c r="D12" s="19"/>
      <c r="E12" s="19"/>
      <c r="F12" s="19"/>
      <c r="G12" s="19"/>
      <c r="H12" s="19"/>
    </row>
    <row r="13" customFormat="false" ht="25.5" hidden="false" customHeight="true" outlineLevel="0" collapsed="false">
      <c r="B13" s="5" t="s">
        <v>130</v>
      </c>
      <c r="C13" s="19" t="s">
        <v>131</v>
      </c>
      <c r="D13" s="19"/>
      <c r="E13" s="19"/>
      <c r="F13" s="19"/>
      <c r="G13" s="19"/>
      <c r="H13" s="19"/>
    </row>
    <row r="14" customFormat="false" ht="25.5" hidden="false" customHeight="true" outlineLevel="0" collapsed="false">
      <c r="B14" s="5" t="s">
        <v>132</v>
      </c>
      <c r="C14" s="19" t="s">
        <v>133</v>
      </c>
      <c r="D14" s="19"/>
      <c r="E14" s="19"/>
      <c r="F14" s="19"/>
      <c r="G14" s="19"/>
      <c r="H14" s="19"/>
    </row>
    <row r="15" customFormat="false" ht="25.5" hidden="false" customHeight="true" outlineLevel="0" collapsed="false">
      <c r="B15" s="5" t="s">
        <v>134</v>
      </c>
      <c r="C15" s="19" t="s">
        <v>135</v>
      </c>
      <c r="D15" s="19"/>
      <c r="E15" s="19"/>
      <c r="F15" s="19"/>
      <c r="G15" s="19"/>
      <c r="H15" s="19"/>
    </row>
    <row r="17" customFormat="false" ht="15" hidden="false" customHeight="true" outlineLevel="0" collapsed="false">
      <c r="B17" s="4" t="s">
        <v>136</v>
      </c>
    </row>
    <row r="18" customFormat="false" ht="25.5" hidden="false" customHeight="true" outlineLevel="0" collapsed="false">
      <c r="B18" s="5" t="s">
        <v>137</v>
      </c>
      <c r="C18" s="19" t="s">
        <v>138</v>
      </c>
      <c r="D18" s="19"/>
      <c r="E18" s="19"/>
      <c r="F18" s="19"/>
      <c r="G18" s="19"/>
      <c r="H18" s="19"/>
    </row>
    <row r="19" customFormat="false" ht="25.5" hidden="false" customHeight="true" outlineLevel="0" collapsed="false">
      <c r="B19" s="5" t="s">
        <v>139</v>
      </c>
      <c r="C19" s="19" t="s">
        <v>140</v>
      </c>
      <c r="D19" s="19"/>
      <c r="E19" s="19"/>
      <c r="F19" s="19"/>
      <c r="G19" s="19"/>
      <c r="H19" s="19"/>
    </row>
    <row r="21" customFormat="false" ht="15" hidden="false" customHeight="true" outlineLevel="0" collapsed="false">
      <c r="B21" s="4" t="s">
        <v>141</v>
      </c>
    </row>
    <row r="22" customFormat="false" ht="25.5" hidden="false" customHeight="true" outlineLevel="0" collapsed="false">
      <c r="B22" s="5" t="s">
        <v>142</v>
      </c>
      <c r="C22" s="19" t="s">
        <v>143</v>
      </c>
      <c r="D22" s="19"/>
      <c r="E22" s="19"/>
      <c r="F22" s="19"/>
      <c r="G22" s="19"/>
      <c r="H22" s="19"/>
    </row>
    <row r="24" customFormat="false" ht="15" hidden="false" customHeight="true" outlineLevel="0" collapsed="false">
      <c r="B24" s="4" t="s">
        <v>144</v>
      </c>
    </row>
    <row r="25" customFormat="false" ht="25.5" hidden="false" customHeight="true" outlineLevel="0" collapsed="false">
      <c r="B25" s="5" t="s">
        <v>145</v>
      </c>
      <c r="C25" s="19" t="s">
        <v>146</v>
      </c>
      <c r="D25" s="19"/>
      <c r="E25" s="19"/>
      <c r="F25" s="19"/>
      <c r="G25" s="19"/>
      <c r="H25" s="19"/>
    </row>
  </sheetData>
  <mergeCells count="12">
    <mergeCell ref="C6:H6"/>
    <mergeCell ref="C7:H7"/>
    <mergeCell ref="C8:H8"/>
    <mergeCell ref="C9:H9"/>
    <mergeCell ref="C12:H12"/>
    <mergeCell ref="C13:H13"/>
    <mergeCell ref="C14:H14"/>
    <mergeCell ref="C15:H15"/>
    <mergeCell ref="C18:H18"/>
    <mergeCell ref="C19:H19"/>
    <mergeCell ref="C22:H22"/>
    <mergeCell ref="C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3B53"/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1" width="3.08"/>
    <col collapsed="false" customWidth="true" hidden="false" outlineLevel="0" max="2" min="2" style="1" width="42.03"/>
    <col collapsed="false" customWidth="true" hidden="false" outlineLevel="0" max="3" min="3" style="1" width="25.24"/>
    <col collapsed="false" customWidth="true" hidden="false" outlineLevel="0" max="5" min="4" style="1" width="18.92"/>
    <col collapsed="false" customWidth="true" hidden="false" outlineLevel="0" max="6" min="6" style="1" width="21.03"/>
  </cols>
  <sheetData>
    <row r="1" customFormat="false" ht="24" hidden="false" customHeight="true" outlineLevel="0" collapsed="false">
      <c r="A1" s="20"/>
      <c r="B1" s="20"/>
      <c r="C1" s="20"/>
      <c r="D1" s="20"/>
      <c r="E1" s="20"/>
      <c r="F1" s="20"/>
    </row>
    <row r="2" customFormat="false" ht="30" hidden="false" customHeight="true" outlineLevel="0" collapsed="false">
      <c r="A2" s="20"/>
      <c r="B2" s="21" t="s">
        <v>147</v>
      </c>
      <c r="C2" s="20"/>
      <c r="D2" s="20"/>
      <c r="E2" s="20"/>
      <c r="F2" s="20"/>
    </row>
    <row r="3" customFormat="false" ht="24" hidden="false" customHeight="true" outlineLevel="0" collapsed="false">
      <c r="A3" s="20"/>
      <c r="B3" s="22" t="s">
        <v>148</v>
      </c>
      <c r="C3" s="23"/>
      <c r="D3" s="23"/>
      <c r="E3" s="23"/>
      <c r="F3" s="23"/>
    </row>
    <row r="4" customFormat="false" ht="24" hidden="false" customHeight="true" outlineLevel="0" collapsed="false">
      <c r="A4" s="20"/>
      <c r="B4" s="20"/>
      <c r="C4" s="20"/>
      <c r="D4" s="20"/>
      <c r="E4" s="20"/>
      <c r="F4" s="20"/>
    </row>
    <row r="5" customFormat="false" ht="37.5" hidden="false" customHeight="true" outlineLevel="0" collapsed="false">
      <c r="A5" s="20"/>
      <c r="B5" s="24" t="s">
        <v>149</v>
      </c>
      <c r="C5" s="25" t="s">
        <v>150</v>
      </c>
      <c r="D5" s="25" t="s">
        <v>71</v>
      </c>
      <c r="E5" s="25" t="s">
        <v>70</v>
      </c>
      <c r="F5" s="26" t="s">
        <v>151</v>
      </c>
    </row>
    <row r="6" customFormat="false" ht="24" hidden="false" customHeight="true" outlineLevel="0" collapsed="false">
      <c r="A6" s="20"/>
      <c r="B6" s="20" t="s">
        <v>152</v>
      </c>
      <c r="C6" s="27" t="n">
        <f aca="false">SUM(C23:C25)</f>
        <v>234</v>
      </c>
      <c r="D6" s="27" t="n">
        <f aca="false">SUM(D23:D25)</f>
        <v>294</v>
      </c>
      <c r="E6" s="27" t="n">
        <f aca="false">SUM(E23:E25)</f>
        <v>300</v>
      </c>
      <c r="F6" s="28" t="n">
        <f aca="false">SUM(C6:E6)</f>
        <v>828</v>
      </c>
    </row>
    <row r="7" customFormat="false" ht="24" hidden="false" customHeight="true" outlineLevel="0" collapsed="false">
      <c r="A7" s="20"/>
      <c r="B7" s="29" t="s">
        <v>153</v>
      </c>
      <c r="C7" s="30" t="n">
        <f aca="false">SUM(C15:C17)</f>
        <v>75.5666666666667</v>
      </c>
      <c r="D7" s="30" t="n">
        <f aca="false">SUM(D15:D17)</f>
        <v>53.0333333333333</v>
      </c>
      <c r="E7" s="30" t="n">
        <f aca="false">SUM(E15:E17)</f>
        <v>51.1666666666667</v>
      </c>
      <c r="F7" s="31" t="n">
        <f aca="false">SUM(C7:E7)</f>
        <v>179.766666666667</v>
      </c>
    </row>
    <row r="8" customFormat="false" ht="24" hidden="false" customHeight="true" outlineLevel="0" collapsed="false">
      <c r="A8" s="20"/>
      <c r="B8" s="20" t="s">
        <v>154</v>
      </c>
      <c r="C8" s="32" t="n">
        <f aca="false">$C$33*$C$34</f>
        <v>50</v>
      </c>
      <c r="D8" s="32" t="n">
        <f aca="false">$C$33*$C$34</f>
        <v>50</v>
      </c>
      <c r="E8" s="32" t="n">
        <f aca="false">$C$33*$C$34</f>
        <v>50</v>
      </c>
      <c r="F8" s="33" t="n">
        <f aca="false">SUM(C8:E8)</f>
        <v>150</v>
      </c>
    </row>
    <row r="9" customFormat="false" ht="24" hidden="false" customHeight="true" outlineLevel="0" collapsed="false">
      <c r="A9" s="20"/>
      <c r="B9" s="34" t="s">
        <v>155</v>
      </c>
      <c r="C9" s="35" t="n">
        <f aca="false">C7-C8</f>
        <v>25.5666666666667</v>
      </c>
      <c r="D9" s="35" t="n">
        <f aca="false">D7-D8</f>
        <v>3.03333333333333</v>
      </c>
      <c r="E9" s="35" t="n">
        <f aca="false">E7-E8</f>
        <v>1.16666666666667</v>
      </c>
      <c r="F9" s="36" t="n">
        <f aca="false">SUM(C9:E9)</f>
        <v>29.7666666666667</v>
      </c>
    </row>
    <row r="10" customFormat="false" ht="24" hidden="false" customHeight="true" outlineLevel="0" collapsed="false">
      <c r="A10" s="20"/>
      <c r="B10" s="34" t="s">
        <v>156</v>
      </c>
      <c r="C10" s="37" t="n">
        <f aca="false">C9/C8</f>
        <v>0.511333333333334</v>
      </c>
      <c r="D10" s="37" t="n">
        <f aca="false">D9/D8</f>
        <v>0.0606666666666666</v>
      </c>
      <c r="E10" s="37" t="n">
        <f aca="false">E9/E8</f>
        <v>0.0233333333333334</v>
      </c>
      <c r="F10" s="38" t="n">
        <f aca="false">F9/F8</f>
        <v>0.198444444444445</v>
      </c>
    </row>
    <row r="11" customFormat="false" ht="24" hidden="false" customHeight="true" outlineLevel="0" collapsed="false">
      <c r="A11" s="20"/>
      <c r="B11" s="20" t="s">
        <v>157</v>
      </c>
      <c r="C11" s="39" t="n">
        <f aca="false">C7/$C$33</f>
        <v>15.1133333333333</v>
      </c>
      <c r="D11" s="39" t="n">
        <f aca="false">D7/$C$33</f>
        <v>10.6066666666667</v>
      </c>
      <c r="E11" s="39" t="n">
        <f aca="false">E7/$C$33</f>
        <v>10.2333333333333</v>
      </c>
      <c r="F11" s="40" t="n">
        <f aca="false">SUM(C11:E11)</f>
        <v>35.9533333333333</v>
      </c>
    </row>
    <row r="12" customFormat="false" ht="24" hidden="false" customHeight="true" outlineLevel="0" collapsed="false">
      <c r="A12" s="20"/>
      <c r="B12" s="20" t="s">
        <v>158</v>
      </c>
      <c r="C12" s="39" t="n">
        <f aca="false">C7/C8</f>
        <v>1.51133333333333</v>
      </c>
      <c r="D12" s="39" t="n">
        <f aca="false">D7/D8</f>
        <v>1.06066666666667</v>
      </c>
      <c r="E12" s="39" t="n">
        <f aca="false">E7/E8</f>
        <v>1.02333333333333</v>
      </c>
      <c r="F12" s="40" t="n">
        <f aca="false">SUM(C12:E12)</f>
        <v>3.59533333333333</v>
      </c>
    </row>
    <row r="13" customFormat="false" ht="24" hidden="false" customHeight="true" outlineLevel="0" collapsed="false">
      <c r="A13" s="20"/>
      <c r="B13" s="20"/>
      <c r="C13" s="41"/>
      <c r="D13" s="41"/>
      <c r="E13" s="41"/>
      <c r="F13" s="42"/>
    </row>
    <row r="14" customFormat="false" ht="24" hidden="false" customHeight="true" outlineLevel="0" collapsed="false">
      <c r="A14" s="20"/>
      <c r="B14" s="43" t="s">
        <v>159</v>
      </c>
      <c r="C14" s="44"/>
      <c r="D14" s="44"/>
      <c r="E14" s="44"/>
      <c r="F14" s="45"/>
    </row>
    <row r="15" customFormat="false" ht="24" hidden="false" customHeight="true" outlineLevel="0" collapsed="false">
      <c r="A15" s="20"/>
      <c r="B15" s="20" t="s">
        <v>160</v>
      </c>
      <c r="C15" s="32" t="n">
        <f aca="false">C23*$C$35/$C$30</f>
        <v>48.5</v>
      </c>
      <c r="D15" s="32" t="n">
        <f aca="false">D23*$C$35/$C$30</f>
        <v>18.5</v>
      </c>
      <c r="E15" s="32" t="n">
        <f aca="false">E23*$C$35/$C$30</f>
        <v>15</v>
      </c>
      <c r="F15" s="33" t="n">
        <f aca="false">SUM(C15:E15)</f>
        <v>82</v>
      </c>
    </row>
    <row r="16" customFormat="false" ht="24" hidden="false" customHeight="true" outlineLevel="0" collapsed="false">
      <c r="A16" s="20"/>
      <c r="B16" s="20" t="s">
        <v>75</v>
      </c>
      <c r="C16" s="32" t="n">
        <f aca="false">C24*$C$35/$C$31</f>
        <v>22.1666666666667</v>
      </c>
      <c r="D16" s="32" t="n">
        <f aca="false">D24*$C$35/$C$31</f>
        <v>9.1</v>
      </c>
      <c r="E16" s="32" t="n">
        <f aca="false">E24*$C$35/$C$31</f>
        <v>9.33333333333333</v>
      </c>
      <c r="F16" s="33" t="n">
        <f aca="false">SUM(C16:E16)</f>
        <v>40.6</v>
      </c>
    </row>
    <row r="17" customFormat="false" ht="24" hidden="false" customHeight="true" outlineLevel="0" collapsed="false">
      <c r="A17" s="20"/>
      <c r="B17" s="20" t="s">
        <v>77</v>
      </c>
      <c r="C17" s="32" t="n">
        <f aca="false">C25*$C$35/$C$32</f>
        <v>4.9</v>
      </c>
      <c r="D17" s="32" t="n">
        <f aca="false">D25*$C$35/$C$32</f>
        <v>25.4333333333333</v>
      </c>
      <c r="E17" s="32" t="n">
        <f aca="false">E25*$C$35/$C$32</f>
        <v>26.8333333333333</v>
      </c>
      <c r="F17" s="33" t="n">
        <f aca="false">SUM(C17:E17)</f>
        <v>57.1666666666667</v>
      </c>
    </row>
    <row r="18" customFormat="false" ht="24" hidden="false" customHeight="true" outlineLevel="0" collapsed="false">
      <c r="A18" s="20"/>
      <c r="B18" s="20"/>
      <c r="C18" s="20"/>
      <c r="D18" s="20"/>
      <c r="E18" s="20"/>
      <c r="F18" s="46"/>
    </row>
    <row r="19" customFormat="false" ht="24" hidden="false" customHeight="true" outlineLevel="0" collapsed="false">
      <c r="A19" s="20"/>
      <c r="B19" s="34" t="s">
        <v>161</v>
      </c>
      <c r="C19" s="20"/>
      <c r="D19" s="20"/>
      <c r="E19" s="20"/>
      <c r="F19" s="46"/>
    </row>
    <row r="20" customFormat="false" ht="24" hidden="false" customHeight="true" outlineLevel="0" collapsed="false">
      <c r="A20" s="20"/>
      <c r="B20" s="47" t="s">
        <v>162</v>
      </c>
      <c r="C20" s="20"/>
      <c r="D20" s="20"/>
      <c r="E20" s="20"/>
      <c r="F20" s="46"/>
    </row>
    <row r="21" customFormat="false" ht="37.5" hidden="false" customHeight="true" outlineLevel="0" collapsed="false">
      <c r="A21" s="20"/>
      <c r="B21" s="24" t="s">
        <v>163</v>
      </c>
      <c r="C21" s="25" t="s">
        <v>150</v>
      </c>
      <c r="D21" s="25" t="s">
        <v>71</v>
      </c>
      <c r="E21" s="25" t="s">
        <v>70</v>
      </c>
      <c r="F21" s="26" t="s">
        <v>151</v>
      </c>
    </row>
    <row r="22" customFormat="false" ht="24" hidden="false" customHeight="true" outlineLevel="0" collapsed="false">
      <c r="A22" s="20"/>
      <c r="B22" s="20" t="s">
        <v>164</v>
      </c>
      <c r="C22" s="48" t="n">
        <v>252</v>
      </c>
      <c r="D22" s="48" t="n">
        <v>300</v>
      </c>
      <c r="E22" s="48" t="n">
        <v>310</v>
      </c>
      <c r="F22" s="28" t="n">
        <f aca="false">SUM(C22:E22)</f>
        <v>862</v>
      </c>
    </row>
    <row r="23" customFormat="false" ht="24" hidden="false" customHeight="true" outlineLevel="0" collapsed="false">
      <c r="A23" s="20"/>
      <c r="B23" s="20" t="s">
        <v>160</v>
      </c>
      <c r="C23" s="48" t="n">
        <v>97</v>
      </c>
      <c r="D23" s="48" t="n">
        <v>37</v>
      </c>
      <c r="E23" s="48" t="n">
        <v>30</v>
      </c>
      <c r="F23" s="28" t="n">
        <f aca="false">SUM(C23:E23)</f>
        <v>164</v>
      </c>
    </row>
    <row r="24" customFormat="false" ht="24" hidden="false" customHeight="true" outlineLevel="0" collapsed="false">
      <c r="A24" s="20"/>
      <c r="B24" s="20" t="s">
        <v>75</v>
      </c>
      <c r="C24" s="48" t="n">
        <v>95</v>
      </c>
      <c r="D24" s="48" t="n">
        <v>39</v>
      </c>
      <c r="E24" s="48" t="n">
        <v>40</v>
      </c>
      <c r="F24" s="28" t="n">
        <f aca="false">SUM(C24:E24)</f>
        <v>174</v>
      </c>
    </row>
    <row r="25" customFormat="false" ht="24" hidden="false" customHeight="true" outlineLevel="0" collapsed="false">
      <c r="A25" s="20"/>
      <c r="B25" s="20" t="s">
        <v>77</v>
      </c>
      <c r="C25" s="48" t="n">
        <v>42</v>
      </c>
      <c r="D25" s="48" t="n">
        <v>218</v>
      </c>
      <c r="E25" s="48" t="n">
        <v>230</v>
      </c>
      <c r="F25" s="28" t="n">
        <f aca="false">SUM(C25:E25)</f>
        <v>490</v>
      </c>
    </row>
    <row r="26" customFormat="false" ht="24" hidden="false" customHeight="true" outlineLevel="0" collapsed="false">
      <c r="A26" s="20"/>
      <c r="B26" s="20"/>
      <c r="C26" s="20"/>
      <c r="D26" s="20"/>
      <c r="E26" s="20"/>
      <c r="F26" s="20"/>
    </row>
    <row r="27" customFormat="false" ht="24" hidden="false" customHeight="true" outlineLevel="0" collapsed="false">
      <c r="A27" s="20"/>
      <c r="B27" s="47" t="s">
        <v>165</v>
      </c>
      <c r="C27" s="20"/>
      <c r="D27" s="20"/>
      <c r="E27" s="20"/>
      <c r="F27" s="20"/>
    </row>
    <row r="28" customFormat="false" ht="24" hidden="false" customHeight="true" outlineLevel="0" collapsed="false">
      <c r="A28" s="20"/>
      <c r="B28" s="20"/>
      <c r="C28" s="20"/>
      <c r="D28" s="20"/>
      <c r="E28" s="20"/>
      <c r="F28" s="20"/>
    </row>
    <row r="29" customFormat="false" ht="37.5" hidden="false" customHeight="true" outlineLevel="0" collapsed="false">
      <c r="A29" s="20"/>
      <c r="B29" s="24" t="s">
        <v>166</v>
      </c>
      <c r="C29" s="49" t="s">
        <v>167</v>
      </c>
      <c r="D29" s="20"/>
      <c r="E29" s="20"/>
      <c r="F29" s="20"/>
    </row>
    <row r="30" customFormat="false" ht="24" hidden="false" customHeight="true" outlineLevel="0" collapsed="false">
      <c r="A30" s="20"/>
      <c r="B30" s="20" t="s">
        <v>168</v>
      </c>
      <c r="C30" s="50" t="n">
        <v>14</v>
      </c>
      <c r="D30" s="20"/>
      <c r="E30" s="51" t="s">
        <v>169</v>
      </c>
      <c r="F30" s="20"/>
    </row>
    <row r="31" customFormat="false" ht="24" hidden="false" customHeight="true" outlineLevel="0" collapsed="false">
      <c r="A31" s="20"/>
      <c r="B31" s="20" t="s">
        <v>170</v>
      </c>
      <c r="C31" s="50" t="n">
        <v>30</v>
      </c>
      <c r="D31" s="20"/>
      <c r="E31" s="51" t="s">
        <v>171</v>
      </c>
      <c r="F31" s="20"/>
    </row>
    <row r="32" customFormat="false" ht="24" hidden="false" customHeight="true" outlineLevel="0" collapsed="false">
      <c r="A32" s="20"/>
      <c r="B32" s="20" t="s">
        <v>172</v>
      </c>
      <c r="C32" s="50" t="n">
        <v>60</v>
      </c>
      <c r="D32" s="20"/>
      <c r="E32" s="51" t="s">
        <v>173</v>
      </c>
      <c r="F32" s="20"/>
    </row>
    <row r="33" customFormat="false" ht="24" hidden="false" customHeight="true" outlineLevel="0" collapsed="false">
      <c r="A33" s="20"/>
      <c r="B33" s="20" t="s">
        <v>31</v>
      </c>
      <c r="C33" s="50" t="n">
        <v>5</v>
      </c>
      <c r="D33" s="20"/>
      <c r="E33" s="51" t="s">
        <v>174</v>
      </c>
      <c r="F33" s="20"/>
    </row>
    <row r="34" customFormat="false" ht="24" hidden="false" customHeight="true" outlineLevel="0" collapsed="false">
      <c r="A34" s="20"/>
      <c r="B34" s="20" t="s">
        <v>33</v>
      </c>
      <c r="C34" s="50" t="n">
        <v>10</v>
      </c>
      <c r="D34" s="20"/>
      <c r="E34" s="20"/>
      <c r="F34" s="20"/>
    </row>
    <row r="35" customFormat="false" ht="24" hidden="false" customHeight="true" outlineLevel="0" collapsed="false">
      <c r="A35" s="20"/>
      <c r="B35" s="20" t="s">
        <v>39</v>
      </c>
      <c r="C35" s="52" t="n">
        <v>7</v>
      </c>
      <c r="D35" s="20"/>
      <c r="E35" s="20"/>
      <c r="F35" s="20"/>
    </row>
    <row r="36" customFormat="false" ht="24" hidden="false" customHeight="true" outlineLevel="0" collapsed="false">
      <c r="A36" s="20"/>
      <c r="B36" s="20"/>
      <c r="C36" s="20"/>
      <c r="D36" s="20"/>
      <c r="E36" s="20"/>
      <c r="F36" s="20"/>
    </row>
    <row r="37" customFormat="false" ht="24" hidden="false" customHeight="true" outlineLevel="0" collapsed="false">
      <c r="A37" s="20"/>
      <c r="B37" s="20"/>
      <c r="C37" s="20"/>
      <c r="D37" s="20"/>
      <c r="E37" s="20"/>
      <c r="F37" s="20"/>
    </row>
    <row r="38" customFormat="false" ht="37.5" hidden="false" customHeight="true" outlineLevel="0" collapsed="false">
      <c r="A38" s="20"/>
      <c r="B38" s="24" t="s">
        <v>175</v>
      </c>
      <c r="C38" s="25" t="s">
        <v>150</v>
      </c>
      <c r="D38" s="25" t="s">
        <v>71</v>
      </c>
      <c r="E38" s="25" t="s">
        <v>70</v>
      </c>
      <c r="F38" s="49" t="s">
        <v>151</v>
      </c>
    </row>
    <row r="39" customFormat="false" ht="24" hidden="false" customHeight="true" outlineLevel="0" collapsed="false">
      <c r="A39" s="20"/>
      <c r="B39" s="20" t="s">
        <v>176</v>
      </c>
      <c r="C39" s="53" t="n">
        <f aca="false">C22-SUM(C23:C25)</f>
        <v>18</v>
      </c>
      <c r="D39" s="53" t="n">
        <f aca="false">D22-SUM(D23:D25)</f>
        <v>6</v>
      </c>
      <c r="E39" s="53" t="n">
        <f aca="false">E22-SUM(E23:E25)</f>
        <v>10</v>
      </c>
      <c r="F39" s="53" t="n">
        <f aca="false">SUM(C39:E39)</f>
        <v>34</v>
      </c>
    </row>
    <row r="40" customFormat="false" ht="24" hidden="false" customHeight="true" outlineLevel="0" collapsed="false">
      <c r="A40" s="20"/>
      <c r="B40" s="51" t="s">
        <v>177</v>
      </c>
      <c r="C40" s="20"/>
      <c r="D40" s="20"/>
      <c r="E40" s="20"/>
      <c r="F40" s="20"/>
    </row>
    <row r="41" customFormat="false" ht="24" hidden="false" customHeight="true" outlineLevel="0" collapsed="false">
      <c r="A41" s="20"/>
      <c r="B41" s="51" t="s">
        <v>178</v>
      </c>
      <c r="C41" s="20"/>
      <c r="D41" s="20"/>
      <c r="E41" s="20"/>
      <c r="F41" s="20"/>
    </row>
    <row r="42" customFormat="false" ht="24" hidden="false" customHeight="true" outlineLevel="0" collapsed="false">
      <c r="A42" s="20"/>
      <c r="B42" s="51" t="s">
        <v>179</v>
      </c>
      <c r="C42" s="20"/>
      <c r="D42" s="20"/>
      <c r="E42" s="20"/>
      <c r="F42" s="20"/>
    </row>
    <row r="43" customFormat="false" ht="24" hidden="false" customHeight="true" outlineLevel="0" collapsed="false">
      <c r="A43" s="20"/>
      <c r="B43" s="51" t="s">
        <v>180</v>
      </c>
      <c r="C43" s="20"/>
      <c r="D43" s="20"/>
      <c r="E43" s="20"/>
      <c r="F43" s="20"/>
    </row>
    <row r="44" customFormat="false" ht="24" hidden="false" customHeight="true" outlineLevel="0" collapsed="false">
      <c r="A44" s="20"/>
      <c r="B44" s="51" t="s">
        <v>181</v>
      </c>
      <c r="C44" s="20"/>
      <c r="D44" s="20"/>
      <c r="E44" s="20"/>
      <c r="F44" s="20"/>
    </row>
  </sheetData>
  <conditionalFormatting sqref="C9:F9">
    <cfRule type="cellIs" priority="2" operator="greaterThan" aboveAverage="0" equalAverage="0" bottom="0" percent="0" rank="0" text="" dxfId="0">
      <formula>0</formula>
    </cfRule>
  </conditionalFormatting>
  <conditionalFormatting sqref="C10:F10">
    <cfRule type="cellIs" priority="3" operator="greaterThan" aboveAverage="0" equalAverage="0" bottom="0" percent="0" rank="0" text="" dxfId="0">
      <formula>0</formula>
    </cfRule>
  </conditionalFormatting>
  <conditionalFormatting sqref="D39:E39">
    <cfRule type="cellIs" priority="4" operator="notEqual" aboveAverage="0" equalAverage="0" bottom="0" percent="0" rank="0" text="" dxfId="0">
      <formula>0</formula>
    </cfRule>
  </conditionalFormatting>
  <dataValidations count="2">
    <dataValidation allowBlank="false" errorStyle="stop" operator="greaterThanOrEqual" showDropDown="false" showErrorMessage="false" showInputMessage="false" sqref="C22:E25" type="whole">
      <formula1>0</formula1>
      <formula2>0</formula2>
    </dataValidation>
    <dataValidation allowBlank="false" errorStyle="stop" operator="between" showDropDown="false" showErrorMessage="false" showInputMessage="false" sqref="C30:C34" type="whole">
      <formula1>1</formula1>
      <formula2>365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2026-09-09T13:31:54Z</dcterms:created>
  <dc:creator>openpyxl</dc:creator>
  <dc:description/>
  <dc:language>en-US</dc:language>
  <cp:lastModifiedBy/>
  <dcterms:modified xsi:type="dcterms:W3CDTF">2026-09-09T14:03:33Z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