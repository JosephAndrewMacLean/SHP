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ctuals" sheetId="2" state="visible" r:id="rId2"/>
    <sheet name="Budget" sheetId="3" state="visible" r:id="rId3"/>
    <sheet name="Perf to Budget" sheetId="4" state="visible" r:id="rId4"/>
    <sheet name="Trends" sheetId="5" state="visible" r:id="rId5"/>
    <sheet name="Aug Scorecard" sheetId="6" state="visible" r:id="rId6"/>
    <sheet name="Digital Contex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#,##0;(#,##0);-"/>
    <numFmt numFmtId="167" formatCode="+0.0%;-0.0%;0.0%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1F3864"/>
      <sz val="2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FF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3" fontId="7" fillId="4" borderId="1" pivotButton="0" quotePrefix="0" xfId="0"/>
    <xf numFmtId="0" fontId="0" fillId="0" borderId="1" pivotButton="0" quotePrefix="0" xfId="0"/>
    <xf numFmtId="3" fontId="6" fillId="0" borderId="1" pivotButton="0" quotePrefix="0" xfId="0"/>
    <xf numFmtId="0" fontId="6" fillId="5" borderId="1" pivotButton="0" quotePrefix="0" xfId="0"/>
    <xf numFmtId="3" fontId="6" fillId="5" borderId="1" pivotButton="0" quotePrefix="0" xfId="0"/>
    <xf numFmtId="0" fontId="6" fillId="0" borderId="0" pivotButton="0" quotePrefix="0" xfId="0"/>
    <xf numFmtId="3" fontId="7" fillId="4" borderId="0" pivotButton="0" quotePrefix="0" xfId="0"/>
    <xf numFmtId="164" fontId="4" fillId="0" borderId="0" pivotButton="0" quotePrefix="0" xfId="0"/>
    <xf numFmtId="3" fontId="7" fillId="0" borderId="1" pivotButton="0" quotePrefix="0" xfId="0"/>
    <xf numFmtId="165" fontId="4" fillId="0" borderId="0" pivotButton="0" quotePrefix="0" xfId="0"/>
    <xf numFmtId="165" fontId="6" fillId="0" borderId="0" pivotButton="0" quotePrefix="0" xfId="0"/>
    <xf numFmtId="164" fontId="8" fillId="0" borderId="1" pivotButton="0" quotePrefix="0" xfId="0"/>
    <xf numFmtId="164" fontId="6" fillId="0" borderId="1" pivotButton="0" quotePrefix="0" xfId="0"/>
    <xf numFmtId="164" fontId="6" fillId="5" borderId="1" pivotButton="0" quotePrefix="0" xfId="0"/>
    <xf numFmtId="166" fontId="4" fillId="0" borderId="1" pivotButton="0" quotePrefix="0" xfId="0"/>
    <xf numFmtId="166" fontId="6" fillId="5" borderId="1" pivotButton="0" quotePrefix="0" xfId="0"/>
    <xf numFmtId="165" fontId="4" fillId="0" borderId="1" pivotButton="0" quotePrefix="0" xfId="0"/>
    <xf numFmtId="165" fontId="6" fillId="5" borderId="1" pivotButton="0" quotePrefix="0" xfId="0"/>
    <xf numFmtId="3" fontId="8" fillId="0" borderId="1" pivotButton="0" quotePrefix="0" xfId="0"/>
    <xf numFmtId="166" fontId="6" fillId="0" borderId="1" pivotButton="0" quotePrefix="0" xfId="0"/>
    <xf numFmtId="165" fontId="6" fillId="0" borderId="1" pivotButton="0" quotePrefix="0" xfId="0"/>
    <xf numFmtId="164" fontId="4" fillId="0" borderId="1" pivotButton="0" quotePrefix="0" xfId="0"/>
    <xf numFmtId="167" fontId="4" fillId="0" borderId="1" pivotButton="0" quotePrefix="0" xfId="0"/>
    <xf numFmtId="167" fontId="6" fillId="0" borderId="1" pivotButton="0" quotePrefix="0" xfId="0"/>
    <xf numFmtId="167" fontId="6" fillId="5" borderId="1" pivotButton="0" quotePrefix="0" xfId="0"/>
    <xf numFmtId="3" fontId="4" fillId="0" borderId="1" pivotButton="0" quotePrefix="0" xfId="0"/>
    <xf numFmtId="164" fontId="9" fillId="0" borderId="0" pivotButton="0" quotePrefix="0" xfId="0"/>
    <xf numFmtId="3" fontId="9" fillId="0" borderId="0" pivotButton="0" quotePrefix="0" xfId="0"/>
    <xf numFmtId="164" fontId="6" fillId="4" borderId="1" pivotButton="0" quotePrefix="0" xfId="0"/>
    <xf numFmtId="0" fontId="4" fillId="0" borderId="1" pivotButton="0" quotePrefix="0" xfId="0"/>
    <xf numFmtId="165" fontId="8" fillId="0" borderId="1" pivotButton="0" quotePrefix="0" xfId="0"/>
    <xf numFmtId="0" fontId="4" fillId="4" borderId="1" pivotButton="0" quotePrefix="0" xfId="0"/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name val="Arial"/>
        <color rgb="009C0006"/>
        <sz val="10"/>
      </font>
      <fill>
        <patternFill patternType="solid">
          <bgColor rgb="00F8CBAD"/>
        </patternFill>
      </fill>
    </dxf>
    <dxf>
      <fill>
        <patternFill patternType="solid">
          <bgColor rgb="00FFE699"/>
        </patternFill>
      </fill>
    </dxf>
    <dxf>
      <font>
        <name val="Arial"/>
        <color rgb="00375623"/>
        <sz val="10"/>
      </font>
      <fill>
        <patternFill patternType="solid">
          <bgColor rgb="00C6E0B4"/>
        </patternFill>
      </fill>
    </dxf>
    <dxf>
      <font>
        <name val="Arial"/>
        <color rgb="009C0006"/>
        <sz val="10"/>
      </font>
    </dxf>
    <dxf>
      <font>
        <name val="Arial"/>
        <b val="1"/>
        <color rgb="009C0006"/>
        <sz val="10"/>
      </font>
      <fill>
        <patternFill patternType="solid">
          <bgColor rgb="00F8CBAD"/>
        </patternFill>
      </fill>
    </dxf>
    <dxf>
      <font>
        <name val="Arial"/>
        <b val="1"/>
        <color rgb="00375623"/>
        <sz val="10"/>
      </font>
      <fill>
        <patternFill patternType="solid">
          <bgColor rgb="00C6E0B4"/>
        </patternFill>
      </fill>
    </dxf>
    <dxf>
      <font>
        <name val="Arial"/>
        <b val="1"/>
        <color rgb="009C0006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SHP 2026 New Patients — Performance to Budget</t>
        </is>
      </c>
    </row>
    <row r="2">
      <c r="A2" s="2" t="inlineStr">
        <is>
          <t>Built 2026-07-30 from the 2026 budget workbook and three EMR new-patient exports. All grey/black cells are formulas.</t>
        </is>
      </c>
    </row>
    <row r="4">
      <c r="A4" s="3" t="inlineStr">
        <is>
          <t>What this workbook does</t>
        </is>
      </c>
    </row>
    <row r="5">
      <c r="A5" s="4" t="inlineStr">
        <is>
          <t>Compares actual new patients (first appointment date) against the 2026 budget, by month and by service line,</t>
        </is>
      </c>
    </row>
    <row r="6">
      <c r="A6" s="4" t="inlineStr">
        <is>
          <t>for January through July 2026, and sets an August 2026 scorecard with targets, pacing and thresholds.</t>
        </is>
      </c>
    </row>
    <row r="8">
      <c r="A8" s="3" t="inlineStr">
        <is>
          <t>Source files</t>
        </is>
      </c>
    </row>
    <row r="9">
      <c r="A9" s="4" t="inlineStr">
        <is>
          <t>2026_New_Patients_by_Channel_Budget_7.29.xlsx  -&gt; tab "New Patients Breakout"  (budget; provided 2026-07-29)</t>
        </is>
      </c>
    </row>
    <row r="10">
      <c r="A10" s="4" t="inlineStr">
        <is>
          <t>data__20260730T134900.xlsx  -&gt; EMR export, first appt dates 2026-01-02 to 2026-03-31</t>
        </is>
      </c>
    </row>
    <row r="11">
      <c r="A11" s="4" t="inlineStr">
        <is>
          <t>data__20260730T134956.xlsx  -&gt; EMR export, first appt dates 2026-04-01 to 2026-06-30</t>
        </is>
      </c>
    </row>
    <row r="12">
      <c r="A12" s="4" t="inlineStr">
        <is>
          <t>data__20260730T135432.xlsx  -&gt; EMR export, first appt dates 2026-07-01 to 2026-07-31</t>
        </is>
      </c>
    </row>
    <row r="13">
      <c r="A13" s="4" t="inlineStr">
        <is>
          <t>GA4 property 370514163 ("SHP - New Site - GA4") via the Google Analytics MCP, pulled 2026-07-30.</t>
        </is>
      </c>
    </row>
    <row r="15">
      <c r="A15" s="3" t="inlineStr">
        <is>
          <t>Method and key assumptions</t>
        </is>
      </c>
    </row>
    <row r="16">
      <c r="A16" s="4" t="inlineStr">
        <is>
          <t>1. Actuals are counted by FIRST APPOINTMENT DATE, not by the week-start grouping in the raw exports. The raw</t>
        </is>
      </c>
    </row>
    <row r="17">
      <c r="A17" s="4" t="inlineStr">
        <is>
          <t xml:space="preserve">   pivots group columns by week-start month, so weeks that straddle a month boundary land in the wrong month.</t>
        </is>
      </c>
    </row>
    <row r="18">
      <c r="A18" s="4" t="inlineStr">
        <is>
          <t xml:space="preserve">   Every column was re-bucketed to its own appointment date, so month totals are true calendar months.</t>
        </is>
      </c>
    </row>
    <row r="19">
      <c r="A19" s="4" t="inlineStr">
        <is>
          <t>2. Export filters (carried from the source pivots): other_id_number blank, PH Manual blank, and service line in</t>
        </is>
      </c>
    </row>
    <row r="20">
      <c r="A20" s="4" t="inlineStr">
        <is>
          <t xml:space="preserve">   Foot, Hand, Ortho, PA / Mid-Level, Pain &amp; Other, Primary Care, Spine.</t>
        </is>
      </c>
    </row>
    <row r="21">
      <c r="A21" s="4" t="inlineStr">
        <is>
          <t>3. Budget lines used are the top "Total New Patients" block (budget rows 2-8), which already has the PA budget</t>
        </is>
      </c>
    </row>
    <row r="22">
      <c r="A22" s="4" t="inlineStr">
        <is>
          <t xml:space="preserve">   allocated into the six service lines. The EMR export reports "PA / Mid-Level" as its own service line, so on</t>
        </is>
      </c>
    </row>
    <row r="23">
      <c r="A23" s="4" t="inlineStr">
        <is>
          <t xml:space="preserve">   the Perf to Budget tab the actual PA / Mid-Level volume is allocated pro rata across the six lines to match</t>
        </is>
      </c>
    </row>
    <row r="24">
      <c r="A24" s="4" t="inlineStr">
        <is>
          <t xml:space="preserve">   the budget method. PA / Mid-Level is only 45 patients YTD (0.6% of volume), so this changes nothing material.</t>
        </is>
      </c>
    </row>
    <row r="25">
      <c r="A25" s="4" t="inlineStr">
        <is>
          <t>4. Operating days = days in the month with real patient volume (&gt;= 10 new patients). Jan-Jul are observed from</t>
        </is>
      </c>
    </row>
    <row r="26">
      <c r="A26" s="4" t="inlineStr">
        <is>
          <t xml:space="preserve">   the exports; Aug-Dec are weekdays less standard US holidays. This is the fairest way to compare months.</t>
        </is>
      </c>
    </row>
    <row r="27">
      <c r="A27" s="4" t="inlineStr">
        <is>
          <t>5. July 2026 is treated as complete: the export was pulled 2026-07-30 and contains booked appointments through</t>
        </is>
      </c>
    </row>
    <row r="28">
      <c r="A28" s="4" t="inlineStr">
        <is>
          <t xml:space="preserve">   7/31. Late adds and same-day walk-ins could still move July by a handful of patients.</t>
        </is>
      </c>
    </row>
    <row r="29">
      <c r="A29" s="4" t="inlineStr">
        <is>
          <t>6. The budget is stated to four decimals in the source file; it is carried at full precision here and only</t>
        </is>
      </c>
    </row>
    <row r="30">
      <c r="A30" s="4" t="inlineStr">
        <is>
          <t xml:space="preserve">   rounded for display.</t>
        </is>
      </c>
    </row>
    <row r="32">
      <c r="A32" s="3" t="inlineStr">
        <is>
          <t>Colour legend</t>
        </is>
      </c>
    </row>
    <row r="33">
      <c r="A33" s="4" t="inlineStr">
        <is>
          <t>BLUE text      = hardcoded input pulled from a source file. These are the only cells to change on a refresh.</t>
        </is>
      </c>
    </row>
    <row r="34">
      <c r="A34" s="4" t="inlineStr">
        <is>
          <t>GREEN text     = link to another tab in this workbook.</t>
        </is>
      </c>
    </row>
    <row r="35">
      <c r="A35" s="4" t="inlineStr">
        <is>
          <t>BLACK text     = calculated. Do not overwrite.</t>
        </is>
      </c>
    </row>
    <row r="36">
      <c r="A36" s="4" t="inlineStr">
        <is>
          <t>YELLOW fill    = assumption or target you should review and own.</t>
        </is>
      </c>
    </row>
    <row r="38">
      <c r="A38" s="3" t="inlineStr">
        <is>
          <t>How to refresh next month</t>
        </is>
      </c>
    </row>
    <row r="39">
      <c r="A39" s="4" t="inlineStr">
        <is>
          <t>Step 1  Paste the new month of actuals into the blue cells on the Actuals tab (one column per month).</t>
        </is>
      </c>
    </row>
    <row r="40">
      <c r="A40" s="4" t="inlineStr">
        <is>
          <t>Step 2  Enter that month’s operating-day count in row 14 of the Actuals tab.</t>
        </is>
      </c>
    </row>
    <row r="41">
      <c r="A41" s="4" t="inlineStr">
        <is>
          <t>Step 3  Everything on Perf to Budget, Trends and the scorecard recalculates. Nothing else needs touching.</t>
        </is>
      </c>
    </row>
    <row r="42">
      <c r="A42" s="4" t="inlineStr">
        <is>
          <t>Step 4  Copy the Aug Scorecard tab, rename it for the new month, and update the yellow target cells.</t>
        </is>
      </c>
    </row>
    <row r="44">
      <c r="A44" s="3" t="inlineStr">
        <is>
          <t>Caveats a reader should know</t>
        </is>
      </c>
    </row>
    <row r="45">
      <c r="A45" s="4" t="inlineStr">
        <is>
          <t>This workbook measures VOLUME, not revenue, payer mix, or downstream surgical conversion. A service line can</t>
        </is>
      </c>
    </row>
    <row r="46">
      <c r="A46" s="4" t="inlineStr">
        <is>
          <t>beat its new-patient budget and still miss financially.</t>
        </is>
      </c>
    </row>
    <row r="47">
      <c r="A47" s="4" t="inlineStr">
        <is>
          <t>It also does not attribute new patients to a marketing channel. The EMR export has no source field, so nothing</t>
        </is>
      </c>
    </row>
    <row r="48">
      <c r="A48" s="4" t="inlineStr">
        <is>
          <t>here proves what caused a change. The Digital Context tab is directional only.</t>
        </is>
      </c>
    </row>
  </sheetData>
  <mergeCells count="6">
    <mergeCell ref="A4:H4"/>
    <mergeCell ref="A15:H15"/>
    <mergeCell ref="A38:H38"/>
    <mergeCell ref="A44:H44"/>
    <mergeCell ref="A32:H32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Actual New Patients by Service Line — 2026</t>
        </is>
      </c>
    </row>
    <row r="2">
      <c r="A2" s="2" t="inlineStr">
        <is>
          <t>Counted by first appointment date. Blue cells are the inputs; replace them each month.</t>
        </is>
      </c>
    </row>
    <row r="4" ht="28" customHeight="1">
      <c r="A4" s="5" t="inlineStr">
        <is>
          <t>Service Line</t>
        </is>
      </c>
      <c r="B4" s="5" t="inlineStr">
        <is>
          <t>Jan-26</t>
        </is>
      </c>
      <c r="C4" s="5" t="inlineStr">
        <is>
          <t>Feb-26</t>
        </is>
      </c>
      <c r="D4" s="5" t="inlineStr">
        <is>
          <t>Mar-26</t>
        </is>
      </c>
      <c r="E4" s="5" t="inlineStr">
        <is>
          <t>Apr-26</t>
        </is>
      </c>
      <c r="F4" s="5" t="inlineStr">
        <is>
          <t>May-26</t>
        </is>
      </c>
      <c r="G4" s="5" t="inlineStr">
        <is>
          <t>Jun-26</t>
        </is>
      </c>
      <c r="H4" s="5" t="inlineStr">
        <is>
          <t>Jul-26</t>
        </is>
      </c>
      <c r="I4" s="5" t="inlineStr">
        <is>
          <t>Aug-26</t>
        </is>
      </c>
      <c r="J4" s="5" t="inlineStr">
        <is>
          <t>Sep-26</t>
        </is>
      </c>
      <c r="K4" s="5" t="inlineStr">
        <is>
          <t>Oct-26</t>
        </is>
      </c>
      <c r="L4" s="5" t="inlineStr">
        <is>
          <t>Nov-26</t>
        </is>
      </c>
      <c r="M4" s="5" t="inlineStr">
        <is>
          <t>Dec-26</t>
        </is>
      </c>
      <c r="N4" s="5" t="inlineStr">
        <is>
          <t>YTD Jan-Jul</t>
        </is>
      </c>
    </row>
    <row r="5">
      <c r="A5" s="6" t="inlineStr">
        <is>
          <t>Ortho</t>
        </is>
      </c>
      <c r="B5" s="7" t="n">
        <v>450</v>
      </c>
      <c r="C5" s="7" t="n">
        <v>400</v>
      </c>
      <c r="D5" s="7" t="n">
        <v>406</v>
      </c>
      <c r="E5" s="7" t="n">
        <v>492</v>
      </c>
      <c r="F5" s="7" t="n">
        <v>461</v>
      </c>
      <c r="G5" s="7" t="n">
        <v>496</v>
      </c>
      <c r="H5" s="7" t="n">
        <v>534</v>
      </c>
      <c r="I5" s="8" t="n"/>
      <c r="J5" s="8" t="n"/>
      <c r="K5" s="8" t="n"/>
      <c r="L5" s="8" t="n"/>
      <c r="M5" s="8" t="n"/>
      <c r="N5" s="9">
        <f>SUM(B5:H5)</f>
        <v/>
      </c>
    </row>
    <row r="6">
      <c r="A6" s="6" t="inlineStr">
        <is>
          <t>Spine</t>
        </is>
      </c>
      <c r="B6" s="7" t="n">
        <v>185</v>
      </c>
      <c r="C6" s="7" t="n">
        <v>163</v>
      </c>
      <c r="D6" s="7" t="n">
        <v>243</v>
      </c>
      <c r="E6" s="7" t="n">
        <v>217</v>
      </c>
      <c r="F6" s="7" t="n">
        <v>216</v>
      </c>
      <c r="G6" s="7" t="n">
        <v>247</v>
      </c>
      <c r="H6" s="7" t="n">
        <v>199</v>
      </c>
      <c r="I6" s="8" t="n"/>
      <c r="J6" s="8" t="n"/>
      <c r="K6" s="8" t="n"/>
      <c r="L6" s="8" t="n"/>
      <c r="M6" s="8" t="n"/>
      <c r="N6" s="9">
        <f>SUM(B6:H6)</f>
        <v/>
      </c>
    </row>
    <row r="7">
      <c r="A7" s="6" t="inlineStr">
        <is>
          <t>Pain &amp; Other</t>
        </is>
      </c>
      <c r="B7" s="7" t="n">
        <v>47</v>
      </c>
      <c r="C7" s="7" t="n">
        <v>34</v>
      </c>
      <c r="D7" s="7" t="n">
        <v>30</v>
      </c>
      <c r="E7" s="7" t="n">
        <v>59</v>
      </c>
      <c r="F7" s="7" t="n">
        <v>38</v>
      </c>
      <c r="G7" s="7" t="n">
        <v>64</v>
      </c>
      <c r="H7" s="7" t="n">
        <v>57</v>
      </c>
      <c r="I7" s="8" t="n"/>
      <c r="J7" s="8" t="n"/>
      <c r="K7" s="8" t="n"/>
      <c r="L7" s="8" t="n"/>
      <c r="M7" s="8" t="n"/>
      <c r="N7" s="9">
        <f>SUM(B7:H7)</f>
        <v/>
      </c>
    </row>
    <row r="8">
      <c r="A8" s="6" t="inlineStr">
        <is>
          <t>Foot</t>
        </is>
      </c>
      <c r="B8" s="7" t="n">
        <v>124</v>
      </c>
      <c r="C8" s="7" t="n">
        <v>131</v>
      </c>
      <c r="D8" s="7" t="n">
        <v>128</v>
      </c>
      <c r="E8" s="7" t="n">
        <v>176</v>
      </c>
      <c r="F8" s="7" t="n">
        <v>174</v>
      </c>
      <c r="G8" s="7" t="n">
        <v>196</v>
      </c>
      <c r="H8" s="7" t="n">
        <v>228</v>
      </c>
      <c r="I8" s="8" t="n"/>
      <c r="J8" s="8" t="n"/>
      <c r="K8" s="8" t="n"/>
      <c r="L8" s="8" t="n"/>
      <c r="M8" s="8" t="n"/>
      <c r="N8" s="9">
        <f>SUM(B8:H8)</f>
        <v/>
      </c>
    </row>
    <row r="9">
      <c r="A9" s="6" t="inlineStr">
        <is>
          <t>Hand</t>
        </is>
      </c>
      <c r="B9" s="7" t="n">
        <v>95</v>
      </c>
      <c r="C9" s="7" t="n">
        <v>97</v>
      </c>
      <c r="D9" s="7" t="n">
        <v>136</v>
      </c>
      <c r="E9" s="7" t="n">
        <v>102</v>
      </c>
      <c r="F9" s="7" t="n">
        <v>137</v>
      </c>
      <c r="G9" s="7" t="n">
        <v>122</v>
      </c>
      <c r="H9" s="7" t="n">
        <v>137</v>
      </c>
      <c r="I9" s="8" t="n"/>
      <c r="J9" s="8" t="n"/>
      <c r="K9" s="8" t="n"/>
      <c r="L9" s="8" t="n"/>
      <c r="M9" s="8" t="n"/>
      <c r="N9" s="9">
        <f>SUM(B9:H9)</f>
        <v/>
      </c>
    </row>
    <row r="10">
      <c r="A10" s="6" t="inlineStr">
        <is>
          <t>Primary Care</t>
        </is>
      </c>
      <c r="B10" s="7" t="n">
        <v>53</v>
      </c>
      <c r="C10" s="7" t="n">
        <v>35</v>
      </c>
      <c r="D10" s="7" t="n">
        <v>36</v>
      </c>
      <c r="E10" s="7" t="n">
        <v>21</v>
      </c>
      <c r="F10" s="7" t="n">
        <v>14</v>
      </c>
      <c r="G10" s="7" t="n">
        <v>13</v>
      </c>
      <c r="H10" s="7" t="n">
        <v>16</v>
      </c>
      <c r="I10" s="8" t="n"/>
      <c r="J10" s="8" t="n"/>
      <c r="K10" s="8" t="n"/>
      <c r="L10" s="8" t="n"/>
      <c r="M10" s="8" t="n"/>
      <c r="N10" s="9">
        <f>SUM(B10:H10)</f>
        <v/>
      </c>
    </row>
    <row r="11">
      <c r="A11" s="6" t="inlineStr">
        <is>
          <t>PA / Mid-Level</t>
        </is>
      </c>
      <c r="B11" s="7" t="n">
        <v>10</v>
      </c>
      <c r="C11" s="7" t="n">
        <v>6</v>
      </c>
      <c r="D11" s="7" t="n">
        <v>4</v>
      </c>
      <c r="E11" s="7" t="n">
        <v>6</v>
      </c>
      <c r="F11" s="7" t="n">
        <v>7</v>
      </c>
      <c r="G11" s="7" t="n">
        <v>5</v>
      </c>
      <c r="H11" s="7" t="n">
        <v>7</v>
      </c>
      <c r="I11" s="8" t="n"/>
      <c r="J11" s="8" t="n"/>
      <c r="K11" s="8" t="n"/>
      <c r="L11" s="8" t="n"/>
      <c r="M11" s="8" t="n"/>
      <c r="N11" s="9">
        <f>SUM(B11:H11)</f>
        <v/>
      </c>
    </row>
    <row r="12">
      <c r="A12" s="10" t="inlineStr">
        <is>
          <t>Total</t>
        </is>
      </c>
      <c r="B12" s="11">
        <f>SUM(B5:B11)</f>
        <v/>
      </c>
      <c r="C12" s="11">
        <f>SUM(C5:C11)</f>
        <v/>
      </c>
      <c r="D12" s="11">
        <f>SUM(D5:D11)</f>
        <v/>
      </c>
      <c r="E12" s="11">
        <f>SUM(E5:E11)</f>
        <v/>
      </c>
      <c r="F12" s="11">
        <f>SUM(F5:F11)</f>
        <v/>
      </c>
      <c r="G12" s="11">
        <f>SUM(G5:G11)</f>
        <v/>
      </c>
      <c r="H12" s="11">
        <f>SUM(H5:H11)</f>
        <v/>
      </c>
      <c r="I12" s="11">
        <f>SUM(I5:I11)</f>
        <v/>
      </c>
      <c r="J12" s="11">
        <f>SUM(J5:J11)</f>
        <v/>
      </c>
      <c r="K12" s="11">
        <f>SUM(K5:K11)</f>
        <v/>
      </c>
      <c r="L12" s="11">
        <f>SUM(L5:L11)</f>
        <v/>
      </c>
      <c r="M12" s="11">
        <f>SUM(M5:M11)</f>
        <v/>
      </c>
      <c r="N12" s="11">
        <f>SUM(N5:N11)</f>
        <v/>
      </c>
    </row>
    <row r="14">
      <c r="A14" s="12" t="inlineStr">
        <is>
          <t>Operating days</t>
        </is>
      </c>
      <c r="B14" s="13" t="n">
        <v>21</v>
      </c>
      <c r="C14" s="13" t="n">
        <v>20</v>
      </c>
      <c r="D14" s="13" t="n">
        <v>22</v>
      </c>
      <c r="E14" s="13" t="n">
        <v>22</v>
      </c>
      <c r="F14" s="13" t="n">
        <v>20</v>
      </c>
      <c r="G14" s="13" t="n">
        <v>22</v>
      </c>
      <c r="H14" s="13" t="n">
        <v>22</v>
      </c>
      <c r="I14" s="13" t="n">
        <v>21</v>
      </c>
      <c r="J14" s="13" t="n">
        <v>21</v>
      </c>
      <c r="K14" s="13" t="n">
        <v>22</v>
      </c>
      <c r="L14" s="13" t="n">
        <v>21</v>
      </c>
      <c r="M14" s="13" t="n">
        <v>20</v>
      </c>
    </row>
    <row r="15">
      <c r="A15" s="12" t="inlineStr">
        <is>
          <t>New patients per operating day</t>
        </is>
      </c>
      <c r="B15" s="14">
        <f>B12/B14</f>
        <v/>
      </c>
      <c r="C15" s="14">
        <f>C12/C14</f>
        <v/>
      </c>
      <c r="D15" s="14">
        <f>D12/D14</f>
        <v/>
      </c>
      <c r="E15" s="14">
        <f>E12/E14</f>
        <v/>
      </c>
      <c r="F15" s="14">
        <f>F12/F14</f>
        <v/>
      </c>
      <c r="G15" s="14">
        <f>G12/G14</f>
        <v/>
      </c>
      <c r="H15" s="14">
        <f>H12/H14</f>
        <v/>
      </c>
    </row>
    <row r="17">
      <c r="A17" s="2" t="inlineStr">
        <is>
          <t>Jan-Jul operating days are observed: days with 10 or more new patients in the EMR export.</t>
        </is>
      </c>
    </row>
    <row r="18">
      <c r="A18" s="2" t="inlineStr">
        <is>
          <t>Aug-Dec operating days are weekdays less standard US holidays (Labor Day, Thanksgiving x2, Christmas Eve/Day). Adjust for your actual clinic calendar.</t>
        </is>
      </c>
    </row>
    <row r="19">
      <c r="A19" s="2" t="inlineStr">
        <is>
          <t>PA / Mid-Level is a separate service line in the EMR export. The budget allocates PA volume into the six clinical lines — see Perf to Budget.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2026 New Patient Budget by Service Line</t>
        </is>
      </c>
    </row>
    <row r="2">
      <c r="A2" s="2" t="inlineStr">
        <is>
          <t>Source: 2026_New_Patients_by_Channel_Budget_7.29.xlsx, tab "New Patients Breakout". Values carried at full precision.</t>
        </is>
      </c>
    </row>
    <row r="4">
      <c r="A4" s="3" t="inlineStr">
        <is>
          <t>Budget — PA allocated into service lines (used for all variance reporting)</t>
        </is>
      </c>
    </row>
    <row r="5" ht="28" customHeight="1">
      <c r="A5" s="5" t="inlineStr">
        <is>
          <t>Service Line</t>
        </is>
      </c>
      <c r="B5" s="5" t="inlineStr">
        <is>
          <t>Jan-26</t>
        </is>
      </c>
      <c r="C5" s="5" t="inlineStr">
        <is>
          <t>Feb-26</t>
        </is>
      </c>
      <c r="D5" s="5" t="inlineStr">
        <is>
          <t>Mar-26</t>
        </is>
      </c>
      <c r="E5" s="5" t="inlineStr">
        <is>
          <t>Apr-26</t>
        </is>
      </c>
      <c r="F5" s="5" t="inlineStr">
        <is>
          <t>May-26</t>
        </is>
      </c>
      <c r="G5" s="5" t="inlineStr">
        <is>
          <t>Jun-26</t>
        </is>
      </c>
      <c r="H5" s="5" t="inlineStr">
        <is>
          <t>Jul-26</t>
        </is>
      </c>
      <c r="I5" s="5" t="inlineStr">
        <is>
          <t>Aug-26</t>
        </is>
      </c>
      <c r="J5" s="5" t="inlineStr">
        <is>
          <t>Sep-26</t>
        </is>
      </c>
      <c r="K5" s="5" t="inlineStr">
        <is>
          <t>Oct-26</t>
        </is>
      </c>
      <c r="L5" s="5" t="inlineStr">
        <is>
          <t>Nov-26</t>
        </is>
      </c>
      <c r="M5" s="5" t="inlineStr">
        <is>
          <t>Dec-26</t>
        </is>
      </c>
      <c r="N5" s="5" t="inlineStr">
        <is>
          <t>FY 2026</t>
        </is>
      </c>
    </row>
    <row r="6">
      <c r="A6" s="6" t="inlineStr">
        <is>
          <t>Ortho</t>
        </is>
      </c>
      <c r="B6" s="7" t="n">
        <v>496.1410620136008</v>
      </c>
      <c r="C6" s="7" t="n">
        <v>451.6295453588895</v>
      </c>
      <c r="D6" s="7" t="n">
        <v>547.5281488410322</v>
      </c>
      <c r="E6" s="7" t="n">
        <v>588.7301692144687</v>
      </c>
      <c r="F6" s="7" t="n">
        <v>458.7848540593339</v>
      </c>
      <c r="G6" s="7" t="n">
        <v>559.880329210832</v>
      </c>
      <c r="H6" s="7" t="n">
        <v>522.7706075770022</v>
      </c>
      <c r="I6" s="7" t="n">
        <v>494.2353210622175</v>
      </c>
      <c r="J6" s="7" t="n">
        <v>555.6020612914406</v>
      </c>
      <c r="K6" s="7" t="n">
        <v>521.0603327462314</v>
      </c>
      <c r="L6" s="7" t="n">
        <v>392.5135096484963</v>
      </c>
      <c r="M6" s="7" t="n">
        <v>426.8299720873356</v>
      </c>
      <c r="N6" s="9">
        <f>SUM(B6:M6)</f>
        <v/>
      </c>
    </row>
    <row r="7">
      <c r="A7" s="6" t="inlineStr">
        <is>
          <t>Spine</t>
        </is>
      </c>
      <c r="B7" s="7" t="n">
        <v>190.405012834167</v>
      </c>
      <c r="C7" s="7" t="n">
        <v>180.4331113419292</v>
      </c>
      <c r="D7" s="7" t="n">
        <v>309.0884711199376</v>
      </c>
      <c r="E7" s="7" t="n">
        <v>308.6974670038413</v>
      </c>
      <c r="F7" s="7" t="n">
        <v>290.5115977969479</v>
      </c>
      <c r="G7" s="7" t="n">
        <v>327.1331425465589</v>
      </c>
      <c r="H7" s="7" t="n">
        <v>356.4345051661379</v>
      </c>
      <c r="I7" s="7" t="n">
        <v>337.9860379461352</v>
      </c>
      <c r="J7" s="7" t="n">
        <v>328.1114535185673</v>
      </c>
      <c r="K7" s="7" t="n">
        <v>361.9998101184344</v>
      </c>
      <c r="L7" s="7" t="n">
        <v>317.9578709443126</v>
      </c>
      <c r="M7" s="7" t="n">
        <v>315.4451883418128</v>
      </c>
      <c r="N7" s="9">
        <f>SUM(B7:M7)</f>
        <v/>
      </c>
    </row>
    <row r="8">
      <c r="A8" s="6" t="inlineStr">
        <is>
          <t>Pain</t>
        </is>
      </c>
      <c r="B8" s="7" t="n">
        <v>76.1620051336668</v>
      </c>
      <c r="C8" s="7" t="n">
        <v>72.17324453677169</v>
      </c>
      <c r="D8" s="7" t="n">
        <v>79.47989257369824</v>
      </c>
      <c r="E8" s="7" t="n">
        <v>80.48183961171576</v>
      </c>
      <c r="F8" s="7" t="n">
        <v>74.86260404767503</v>
      </c>
      <c r="G8" s="7" t="n">
        <v>78.29744067507804</v>
      </c>
      <c r="H8" s="7" t="n">
        <v>85.99689648452849</v>
      </c>
      <c r="I8" s="7" t="n">
        <v>77.57056608599825</v>
      </c>
      <c r="J8" s="7" t="n">
        <v>76.55933915433236</v>
      </c>
      <c r="K8" s="7" t="n">
        <v>80.07874587468397</v>
      </c>
      <c r="L8" s="7" t="n">
        <v>73.45923225265153</v>
      </c>
      <c r="M8" s="7" t="n">
        <v>79.40516809983563</v>
      </c>
      <c r="N8" s="9">
        <f>SUM(B8:M8)</f>
        <v/>
      </c>
    </row>
    <row r="9">
      <c r="A9" s="6" t="inlineStr">
        <is>
          <t>Foot</t>
        </is>
      </c>
      <c r="B9" s="7" t="n">
        <v>177.3486690969669</v>
      </c>
      <c r="C9" s="7" t="n">
        <v>200.1167234883215</v>
      </c>
      <c r="D9" s="7" t="n">
        <v>222.9852541650978</v>
      </c>
      <c r="E9" s="7" t="n">
        <v>239.240536927977</v>
      </c>
      <c r="F9" s="7" t="n">
        <v>216.7663460484919</v>
      </c>
      <c r="G9" s="7" t="n">
        <v>224.1666452204289</v>
      </c>
      <c r="H9" s="7" t="n">
        <v>234.2283891091763</v>
      </c>
      <c r="I9" s="7" t="n">
        <v>218.3057359848808</v>
      </c>
      <c r="J9" s="7" t="n">
        <v>215.4598544771925</v>
      </c>
      <c r="K9" s="7" t="n">
        <v>250.1089597181911</v>
      </c>
      <c r="L9" s="7" t="n">
        <v>185.292690308927</v>
      </c>
      <c r="M9" s="7" t="n">
        <v>184.9161448900282</v>
      </c>
      <c r="N9" s="9">
        <f>SUM(B9:M9)</f>
        <v/>
      </c>
    </row>
    <row r="10">
      <c r="A10" s="6" t="inlineStr">
        <is>
          <t>Hand</t>
        </is>
      </c>
      <c r="B10" s="7" t="n">
        <v>95.6972548024318</v>
      </c>
      <c r="C10" s="7" t="n">
        <v>97.14329227076541</v>
      </c>
      <c r="D10" s="7" t="n">
        <v>99.04365825081109</v>
      </c>
      <c r="E10" s="7" t="n">
        <v>99.90754937308874</v>
      </c>
      <c r="F10" s="7" t="n">
        <v>102.2668248975028</v>
      </c>
      <c r="G10" s="7" t="n">
        <v>99.14954500882055</v>
      </c>
      <c r="H10" s="7" t="n">
        <v>105.6468564926607</v>
      </c>
      <c r="I10" s="7" t="n">
        <v>104.4979300152995</v>
      </c>
      <c r="J10" s="7" t="n">
        <v>104.1670287755602</v>
      </c>
      <c r="K10" s="7" t="n">
        <v>105.5227054302605</v>
      </c>
      <c r="L10" s="7" t="n">
        <v>106.5232653036572</v>
      </c>
      <c r="M10" s="7" t="n">
        <v>106.7382729056768</v>
      </c>
      <c r="N10" s="9">
        <f>SUM(B10:M10)</f>
        <v/>
      </c>
    </row>
    <row r="11">
      <c r="A11" s="6" t="inlineStr">
        <is>
          <t>PCP</t>
        </is>
      </c>
      <c r="B11" s="7" t="n">
        <v>27.20071611916671</v>
      </c>
      <c r="C11" s="7" t="n">
        <v>27.33835020332261</v>
      </c>
      <c r="D11" s="7" t="n">
        <v>27.597184921423</v>
      </c>
      <c r="E11" s="7" t="n">
        <v>27.56227383962868</v>
      </c>
      <c r="F11" s="7" t="n">
        <v>27.93380748047576</v>
      </c>
      <c r="G11" s="7" t="n">
        <v>26.81419201201303</v>
      </c>
      <c r="H11" s="7" t="n">
        <v>28.28845279096332</v>
      </c>
      <c r="I11" s="7" t="n">
        <v>27.70377360214223</v>
      </c>
      <c r="J11" s="7" t="n">
        <v>27.34262112654728</v>
      </c>
      <c r="K11" s="7" t="n">
        <v>27.42422803927533</v>
      </c>
      <c r="L11" s="7" t="n">
        <v>27.41016128830281</v>
      </c>
      <c r="M11" s="7" t="n">
        <v>27.19355071912179</v>
      </c>
      <c r="N11" s="9">
        <f>SUM(B11:M11)</f>
        <v/>
      </c>
    </row>
    <row r="12">
      <c r="A12" s="10" t="inlineStr">
        <is>
          <t>Total</t>
        </is>
      </c>
      <c r="B12" s="11">
        <f>SUM(B6:B11)</f>
        <v/>
      </c>
      <c r="C12" s="11">
        <f>SUM(C6:C11)</f>
        <v/>
      </c>
      <c r="D12" s="11">
        <f>SUM(D6:D11)</f>
        <v/>
      </c>
      <c r="E12" s="11">
        <f>SUM(E6:E11)</f>
        <v/>
      </c>
      <c r="F12" s="11">
        <f>SUM(F6:F11)</f>
        <v/>
      </c>
      <c r="G12" s="11">
        <f>SUM(G6:G11)</f>
        <v/>
      </c>
      <c r="H12" s="11">
        <f>SUM(H6:H11)</f>
        <v/>
      </c>
      <c r="I12" s="11">
        <f>SUM(I6:I11)</f>
        <v/>
      </c>
      <c r="J12" s="11">
        <f>SUM(J6:J11)</f>
        <v/>
      </c>
      <c r="K12" s="11">
        <f>SUM(K6:K11)</f>
        <v/>
      </c>
      <c r="L12" s="11">
        <f>SUM(L6:L11)</f>
        <v/>
      </c>
      <c r="M12" s="11">
        <f>SUM(M6:M11)</f>
        <v/>
      </c>
      <c r="N12" s="11">
        <f>SUM(N6:N11)</f>
        <v/>
      </c>
    </row>
    <row r="14">
      <c r="A14" s="3" t="inlineStr">
        <is>
          <t>Raw budget inputs — before PA allocation (reference only)</t>
        </is>
      </c>
    </row>
    <row r="15" ht="28" customHeight="1">
      <c r="A15" s="5" t="inlineStr">
        <is>
          <t>Service Line</t>
        </is>
      </c>
      <c r="B15" s="5" t="inlineStr">
        <is>
          <t>Jan-26</t>
        </is>
      </c>
      <c r="C15" s="5" t="inlineStr">
        <is>
          <t>Feb-26</t>
        </is>
      </c>
      <c r="D15" s="5" t="inlineStr">
        <is>
          <t>Mar-26</t>
        </is>
      </c>
      <c r="E15" s="5" t="inlineStr">
        <is>
          <t>Apr-26</t>
        </is>
      </c>
      <c r="F15" s="5" t="inlineStr">
        <is>
          <t>May-26</t>
        </is>
      </c>
      <c r="G15" s="5" t="inlineStr">
        <is>
          <t>Jun-26</t>
        </is>
      </c>
      <c r="H15" s="5" t="inlineStr">
        <is>
          <t>Jul-26</t>
        </is>
      </c>
      <c r="I15" s="5" t="inlineStr">
        <is>
          <t>Aug-26</t>
        </is>
      </c>
      <c r="J15" s="5" t="inlineStr">
        <is>
          <t>Sep-26</t>
        </is>
      </c>
      <c r="K15" s="5" t="inlineStr">
        <is>
          <t>Oct-26</t>
        </is>
      </c>
      <c r="L15" s="5" t="inlineStr">
        <is>
          <t>Nov-26</t>
        </is>
      </c>
      <c r="M15" s="5" t="inlineStr">
        <is>
          <t>Dec-26</t>
        </is>
      </c>
      <c r="N15" s="5" t="inlineStr">
        <is>
          <t>FY 2026</t>
        </is>
      </c>
    </row>
    <row r="16">
      <c r="A16" s="6" t="inlineStr">
        <is>
          <t>Ortho</t>
        </is>
      </c>
      <c r="B16" s="15" t="n">
        <v>456</v>
      </c>
      <c r="C16" s="15" t="n">
        <v>413</v>
      </c>
      <c r="D16" s="15" t="n">
        <v>496</v>
      </c>
      <c r="E16" s="15" t="n">
        <v>534</v>
      </c>
      <c r="F16" s="15" t="n">
        <v>410.6</v>
      </c>
      <c r="G16" s="15" t="n">
        <v>522</v>
      </c>
      <c r="H16" s="15" t="n">
        <v>462</v>
      </c>
      <c r="I16" s="15" t="n">
        <v>446</v>
      </c>
      <c r="J16" s="15" t="n">
        <v>508</v>
      </c>
      <c r="K16" s="15" t="n">
        <v>475</v>
      </c>
      <c r="L16" s="15" t="n">
        <v>358</v>
      </c>
      <c r="M16" s="15" t="n">
        <v>392.4</v>
      </c>
      <c r="N16" s="9">
        <f>SUM(B16:M16)</f>
        <v/>
      </c>
    </row>
    <row r="17">
      <c r="A17" s="6" t="inlineStr">
        <is>
          <t>Spine</t>
        </is>
      </c>
      <c r="B17" s="15" t="n">
        <v>175</v>
      </c>
      <c r="C17" s="15" t="n">
        <v>165</v>
      </c>
      <c r="D17" s="15" t="n">
        <v>280</v>
      </c>
      <c r="E17" s="15" t="n">
        <v>280</v>
      </c>
      <c r="F17" s="15" t="n">
        <v>260</v>
      </c>
      <c r="G17" s="15" t="n">
        <v>305</v>
      </c>
      <c r="H17" s="15" t="n">
        <v>315</v>
      </c>
      <c r="I17" s="15" t="n">
        <v>305</v>
      </c>
      <c r="J17" s="15" t="n">
        <v>300</v>
      </c>
      <c r="K17" s="15" t="n">
        <v>330</v>
      </c>
      <c r="L17" s="15" t="n">
        <v>290</v>
      </c>
      <c r="M17" s="15" t="n">
        <v>290</v>
      </c>
      <c r="N17" s="9">
        <f>SUM(B17:M17)</f>
        <v/>
      </c>
    </row>
    <row r="18">
      <c r="A18" s="6" t="inlineStr">
        <is>
          <t>Pain</t>
        </is>
      </c>
      <c r="B18" s="15" t="n">
        <v>70</v>
      </c>
      <c r="C18" s="15" t="n">
        <v>66</v>
      </c>
      <c r="D18" s="15" t="n">
        <v>72</v>
      </c>
      <c r="E18" s="15" t="n">
        <v>73</v>
      </c>
      <c r="F18" s="15" t="n">
        <v>67</v>
      </c>
      <c r="G18" s="15" t="n">
        <v>73</v>
      </c>
      <c r="H18" s="15" t="n">
        <v>76</v>
      </c>
      <c r="I18" s="15" t="n">
        <v>70</v>
      </c>
      <c r="J18" s="15" t="n">
        <v>70</v>
      </c>
      <c r="K18" s="15" t="n">
        <v>73</v>
      </c>
      <c r="L18" s="15" t="n">
        <v>67</v>
      </c>
      <c r="M18" s="15" t="n">
        <v>73</v>
      </c>
      <c r="N18" s="9">
        <f>SUM(B18:M18)</f>
        <v/>
      </c>
    </row>
    <row r="19">
      <c r="A19" s="6" t="inlineStr">
        <is>
          <t>Foot</t>
        </is>
      </c>
      <c r="B19" s="15" t="n">
        <v>163</v>
      </c>
      <c r="C19" s="15" t="n">
        <v>183</v>
      </c>
      <c r="D19" s="15" t="n">
        <v>202</v>
      </c>
      <c r="E19" s="15" t="n">
        <v>217</v>
      </c>
      <c r="F19" s="15" t="n">
        <v>194</v>
      </c>
      <c r="G19" s="15" t="n">
        <v>209</v>
      </c>
      <c r="H19" s="15" t="n">
        <v>207</v>
      </c>
      <c r="I19" s="15" t="n">
        <v>197</v>
      </c>
      <c r="J19" s="15" t="n">
        <v>197</v>
      </c>
      <c r="K19" s="15" t="n">
        <v>228</v>
      </c>
      <c r="L19" s="15" t="n">
        <v>169</v>
      </c>
      <c r="M19" s="15" t="n">
        <v>170</v>
      </c>
      <c r="N19" s="9">
        <f>SUM(B19:M19)</f>
        <v/>
      </c>
    </row>
    <row r="20">
      <c r="A20" s="6" t="inlineStr">
        <is>
          <t>Hand</t>
        </is>
      </c>
      <c r="B20" s="15" t="n">
        <v>87.95472000000001</v>
      </c>
      <c r="C20" s="15" t="n">
        <v>88.83426720000001</v>
      </c>
      <c r="D20" s="15" t="n">
        <v>89.72260987200002</v>
      </c>
      <c r="E20" s="15" t="n">
        <v>90.61983597072002</v>
      </c>
      <c r="F20" s="15" t="n">
        <v>91.52603433042722</v>
      </c>
      <c r="G20" s="15" t="n">
        <v>92.44129467373151</v>
      </c>
      <c r="H20" s="15" t="n">
        <v>93.36570762046883</v>
      </c>
      <c r="I20" s="15" t="n">
        <v>94.29936469667352</v>
      </c>
      <c r="J20" s="15" t="n">
        <v>95.24235834364026</v>
      </c>
      <c r="K20" s="15" t="n">
        <v>96.19478192707668</v>
      </c>
      <c r="L20" s="15" t="n">
        <v>97.15672974634744</v>
      </c>
      <c r="M20" s="15" t="n">
        <v>98.1282970438109</v>
      </c>
      <c r="N20" s="9">
        <f>SUM(B20:M20)</f>
        <v/>
      </c>
    </row>
    <row r="21">
      <c r="A21" s="6" t="inlineStr">
        <is>
          <t>PCP</t>
        </is>
      </c>
      <c r="B21" s="15" t="n">
        <v>25</v>
      </c>
      <c r="C21" s="15" t="n">
        <v>25</v>
      </c>
      <c r="D21" s="15" t="n">
        <v>25</v>
      </c>
      <c r="E21" s="15" t="n">
        <v>25</v>
      </c>
      <c r="F21" s="15" t="n">
        <v>25</v>
      </c>
      <c r="G21" s="15" t="n">
        <v>25</v>
      </c>
      <c r="H21" s="15" t="n">
        <v>25</v>
      </c>
      <c r="I21" s="15" t="n">
        <v>25</v>
      </c>
      <c r="J21" s="15" t="n">
        <v>25</v>
      </c>
      <c r="K21" s="15" t="n">
        <v>25</v>
      </c>
      <c r="L21" s="15" t="n">
        <v>25</v>
      </c>
      <c r="M21" s="15" t="n">
        <v>25</v>
      </c>
      <c r="N21" s="9">
        <f>SUM(B21:M21)</f>
        <v/>
      </c>
    </row>
    <row r="22">
      <c r="A22" s="6" t="inlineStr">
        <is>
          <t>PA</t>
        </is>
      </c>
      <c r="B22" s="15" t="n">
        <v>86</v>
      </c>
      <c r="C22" s="15" t="n">
        <v>88</v>
      </c>
      <c r="D22" s="15" t="n">
        <v>121</v>
      </c>
      <c r="E22" s="15" t="n">
        <v>125</v>
      </c>
      <c r="F22" s="15" t="n">
        <v>123</v>
      </c>
      <c r="G22" s="15" t="n">
        <v>89</v>
      </c>
      <c r="H22" s="15" t="n">
        <v>155</v>
      </c>
      <c r="I22" s="15" t="n">
        <v>123</v>
      </c>
      <c r="J22" s="15" t="n">
        <v>112</v>
      </c>
      <c r="K22" s="15" t="n">
        <v>119</v>
      </c>
      <c r="L22" s="15" t="n">
        <v>97</v>
      </c>
      <c r="M22" s="15" t="n">
        <v>92</v>
      </c>
      <c r="N22" s="9">
        <f>SUM(B22:M22)</f>
        <v/>
      </c>
    </row>
    <row r="23">
      <c r="A23" s="10" t="inlineStr">
        <is>
          <t>Total</t>
        </is>
      </c>
      <c r="B23" s="11">
        <f>SUM(B16:B22)</f>
        <v/>
      </c>
      <c r="C23" s="11">
        <f>SUM(C16:C22)</f>
        <v/>
      </c>
      <c r="D23" s="11">
        <f>SUM(D16:D22)</f>
        <v/>
      </c>
      <c r="E23" s="11">
        <f>SUM(E16:E22)</f>
        <v/>
      </c>
      <c r="F23" s="11">
        <f>SUM(F16:F22)</f>
        <v/>
      </c>
      <c r="G23" s="11">
        <f>SUM(G16:G22)</f>
        <v/>
      </c>
      <c r="H23" s="11">
        <f>SUM(H16:H22)</f>
        <v/>
      </c>
      <c r="I23" s="11">
        <f>SUM(I16:I22)</f>
        <v/>
      </c>
      <c r="J23" s="11">
        <f>SUM(J16:J22)</f>
        <v/>
      </c>
      <c r="K23" s="11">
        <f>SUM(K16:K22)</f>
        <v/>
      </c>
      <c r="L23" s="11">
        <f>SUM(L16:L22)</f>
        <v/>
      </c>
      <c r="M23" s="11">
        <f>SUM(M16:M22)</f>
        <v/>
      </c>
      <c r="N23" s="11">
        <f>SUM(N16:N22)</f>
        <v/>
      </c>
    </row>
    <row r="25">
      <c r="A25" s="3" t="inlineStr">
        <is>
          <t>Budget channel split</t>
        </is>
      </c>
    </row>
    <row r="26" ht="28" customHeight="1">
      <c r="A26" s="5" t="inlineStr">
        <is>
          <t>Channel</t>
        </is>
      </c>
      <c r="B26" s="5" t="inlineStr">
        <is>
          <t>Jan-26</t>
        </is>
      </c>
      <c r="C26" s="5" t="inlineStr">
        <is>
          <t>Feb-26</t>
        </is>
      </c>
      <c r="D26" s="5" t="inlineStr">
        <is>
          <t>Mar-26</t>
        </is>
      </c>
      <c r="E26" s="5" t="inlineStr">
        <is>
          <t>Apr-26</t>
        </is>
      </c>
      <c r="F26" s="5" t="inlineStr">
        <is>
          <t>May-26</t>
        </is>
      </c>
      <c r="G26" s="5" t="inlineStr">
        <is>
          <t>Jun-26</t>
        </is>
      </c>
      <c r="H26" s="5" t="inlineStr">
        <is>
          <t>Jul-26</t>
        </is>
      </c>
      <c r="I26" s="5" t="inlineStr">
        <is>
          <t>Aug-26</t>
        </is>
      </c>
      <c r="J26" s="5" t="inlineStr">
        <is>
          <t>Sep-26</t>
        </is>
      </c>
      <c r="K26" s="5" t="inlineStr">
        <is>
          <t>Oct-26</t>
        </is>
      </c>
      <c r="L26" s="5" t="inlineStr">
        <is>
          <t>Nov-26</t>
        </is>
      </c>
      <c r="M26" s="5" t="inlineStr">
        <is>
          <t>Dec-26</t>
        </is>
      </c>
      <c r="N26" s="5" t="inlineStr">
        <is>
          <t>FY 2026</t>
        </is>
      </c>
    </row>
    <row r="27">
      <c r="A27" s="6" t="inlineStr">
        <is>
          <t>B2C + Natural</t>
        </is>
      </c>
      <c r="B27" s="15" t="n">
        <v>835.3123371647998</v>
      </c>
      <c r="C27" s="15" t="n">
        <v>808.4991205364479</v>
      </c>
      <c r="D27" s="15" t="n">
        <v>1010.372255741812</v>
      </c>
      <c r="E27" s="15" t="n">
        <v>1056.656051899231</v>
      </c>
      <c r="F27" s="15" t="n">
        <v>920.3176828182231</v>
      </c>
      <c r="G27" s="15" t="n">
        <v>1033.726387006405</v>
      </c>
      <c r="H27" s="15" t="n">
        <v>1047.812107676469</v>
      </c>
      <c r="I27" s="15" t="n">
        <v>990.3936527532339</v>
      </c>
      <c r="J27" s="15" t="n">
        <v>1027.283334880766</v>
      </c>
      <c r="K27" s="15" t="n">
        <v>1057.893707429574</v>
      </c>
      <c r="L27" s="15" t="n">
        <v>866.9046845038697</v>
      </c>
      <c r="M27" s="15" t="n">
        <v>896.2727569489083</v>
      </c>
      <c r="N27" s="9">
        <f>SUM(B27:M27)</f>
        <v/>
      </c>
    </row>
    <row r="28">
      <c r="A28" s="6" t="inlineStr">
        <is>
          <t>B2B (referral / liaison)</t>
        </is>
      </c>
      <c r="B28" s="15" t="n">
        <v>227.6423828352</v>
      </c>
      <c r="C28" s="15" t="n">
        <v>220.3351466635519</v>
      </c>
      <c r="D28" s="15" t="n">
        <v>275.3503541301876</v>
      </c>
      <c r="E28" s="15" t="n">
        <v>287.9637840714894</v>
      </c>
      <c r="F28" s="15" t="n">
        <v>250.8083515122043</v>
      </c>
      <c r="G28" s="15" t="n">
        <v>281.7149076673263</v>
      </c>
      <c r="H28" s="15" t="n">
        <v>285.5535999439996</v>
      </c>
      <c r="I28" s="15" t="n">
        <v>269.9057119434396</v>
      </c>
      <c r="J28" s="15" t="n">
        <v>279.959023462874</v>
      </c>
      <c r="K28" s="15" t="n">
        <v>288.3010744975028</v>
      </c>
      <c r="L28" s="15" t="n">
        <v>236.2520452424778</v>
      </c>
      <c r="M28" s="15" t="n">
        <v>244.2555400949026</v>
      </c>
      <c r="N28" s="9">
        <f>SUM(B28:M28)</f>
        <v/>
      </c>
    </row>
    <row r="29">
      <c r="A29" s="12" t="inlineStr">
        <is>
          <t>B2B share of new patients</t>
        </is>
      </c>
      <c r="B29" s="16">
        <f>B28/(B27+B28)</f>
        <v/>
      </c>
      <c r="C29" s="16">
        <f>C28/(C27+C28)</f>
        <v/>
      </c>
      <c r="D29" s="16">
        <f>D28/(D27+D28)</f>
        <v/>
      </c>
      <c r="E29" s="16">
        <f>E28/(E27+E28)</f>
        <v/>
      </c>
      <c r="F29" s="16">
        <f>F28/(F27+F28)</f>
        <v/>
      </c>
      <c r="G29" s="16">
        <f>G28/(G27+G28)</f>
        <v/>
      </c>
      <c r="H29" s="16">
        <f>H28/(H27+H28)</f>
        <v/>
      </c>
      <c r="I29" s="16">
        <f>I28/(I27+I28)</f>
        <v/>
      </c>
      <c r="J29" s="16">
        <f>J28/(J27+J28)</f>
        <v/>
      </c>
      <c r="K29" s="16">
        <f>K28/(K27+K28)</f>
        <v/>
      </c>
      <c r="L29" s="16">
        <f>L28/(L27+L28)</f>
        <v/>
      </c>
      <c r="M29" s="16">
        <f>M28/(M27+M28)</f>
        <v/>
      </c>
      <c r="N29" s="17">
        <f>N28/(N27+N28)</f>
        <v/>
      </c>
    </row>
    <row r="31">
      <c r="A31" s="2" t="inlineStr">
        <is>
          <t>The budget assumes 21.4% of new patients arrive through B2B / physician referral and 78.6% through B2C and natural demand.</t>
        </is>
      </c>
    </row>
    <row r="32">
      <c r="A32" s="2" t="inlineStr">
        <is>
          <t>The EMR export carries no source field, so actuals cannot yet be split B2C vs B2B. Closing that gap is the single highest-value data fix — see Trends.</t>
        </is>
      </c>
    </row>
  </sheetData>
  <mergeCells count="3">
    <mergeCell ref="A25:O25"/>
    <mergeCell ref="A4:O4"/>
    <mergeCell ref="A14:O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Performance to Budget — January through July 2026</t>
        </is>
      </c>
    </row>
    <row r="2">
      <c r="A2" s="2" t="inlineStr">
        <is>
          <t>Actual less budget, by service line and month. Green cells link to the Actuals and Budget tabs.</t>
        </is>
      </c>
    </row>
    <row r="4">
      <c r="A4" s="3" t="inlineStr">
        <is>
          <t>Actual new patients (PA / Mid-Level allocated pro rata into the six lines)</t>
        </is>
      </c>
    </row>
    <row r="5" ht="28" customHeight="1">
      <c r="A5" s="5" t="inlineStr">
        <is>
          <t>Service Line</t>
        </is>
      </c>
      <c r="B5" s="5" t="inlineStr">
        <is>
          <t>Jan-26</t>
        </is>
      </c>
      <c r="C5" s="5" t="inlineStr">
        <is>
          <t>Feb-26</t>
        </is>
      </c>
      <c r="D5" s="5" t="inlineStr">
        <is>
          <t>Mar-26</t>
        </is>
      </c>
      <c r="E5" s="5" t="inlineStr">
        <is>
          <t>Apr-26</t>
        </is>
      </c>
      <c r="F5" s="5" t="inlineStr">
        <is>
          <t>May-26</t>
        </is>
      </c>
      <c r="G5" s="5" t="inlineStr">
        <is>
          <t>Jun-26</t>
        </is>
      </c>
      <c r="H5" s="5" t="inlineStr">
        <is>
          <t>Jul-26</t>
        </is>
      </c>
      <c r="I5" s="5" t="inlineStr">
        <is>
          <t>YTD</t>
        </is>
      </c>
    </row>
    <row r="6">
      <c r="A6" s="6" t="inlineStr">
        <is>
          <t>Ortho</t>
        </is>
      </c>
      <c r="B6" s="18">
        <f>Actuals!B5*(1+Actuals!B$11/(Actuals!B$12-Actuals!B$11))</f>
        <v/>
      </c>
      <c r="C6" s="18">
        <f>Actuals!C5*(1+Actuals!C$11/(Actuals!C$12-Actuals!C$11))</f>
        <v/>
      </c>
      <c r="D6" s="18">
        <f>Actuals!D5*(1+Actuals!D$11/(Actuals!D$12-Actuals!D$11))</f>
        <v/>
      </c>
      <c r="E6" s="18">
        <f>Actuals!E5*(1+Actuals!E$11/(Actuals!E$12-Actuals!E$11))</f>
        <v/>
      </c>
      <c r="F6" s="18">
        <f>Actuals!F5*(1+Actuals!F$11/(Actuals!F$12-Actuals!F$11))</f>
        <v/>
      </c>
      <c r="G6" s="18">
        <f>Actuals!G5*(1+Actuals!G$11/(Actuals!G$12-Actuals!G$11))</f>
        <v/>
      </c>
      <c r="H6" s="18">
        <f>Actuals!H5*(1+Actuals!H$11/(Actuals!H$12-Actuals!H$11))</f>
        <v/>
      </c>
      <c r="I6" s="19">
        <f>SUM(B6:H6)</f>
        <v/>
      </c>
    </row>
    <row r="7">
      <c r="A7" s="6" t="inlineStr">
        <is>
          <t>Spine</t>
        </is>
      </c>
      <c r="B7" s="18">
        <f>Actuals!B6*(1+Actuals!B$11/(Actuals!B$12-Actuals!B$11))</f>
        <v/>
      </c>
      <c r="C7" s="18">
        <f>Actuals!C6*(1+Actuals!C$11/(Actuals!C$12-Actuals!C$11))</f>
        <v/>
      </c>
      <c r="D7" s="18">
        <f>Actuals!D6*(1+Actuals!D$11/(Actuals!D$12-Actuals!D$11))</f>
        <v/>
      </c>
      <c r="E7" s="18">
        <f>Actuals!E6*(1+Actuals!E$11/(Actuals!E$12-Actuals!E$11))</f>
        <v/>
      </c>
      <c r="F7" s="18">
        <f>Actuals!F6*(1+Actuals!F$11/(Actuals!F$12-Actuals!F$11))</f>
        <v/>
      </c>
      <c r="G7" s="18">
        <f>Actuals!G6*(1+Actuals!G$11/(Actuals!G$12-Actuals!G$11))</f>
        <v/>
      </c>
      <c r="H7" s="18">
        <f>Actuals!H6*(1+Actuals!H$11/(Actuals!H$12-Actuals!H$11))</f>
        <v/>
      </c>
      <c r="I7" s="19">
        <f>SUM(B7:H7)</f>
        <v/>
      </c>
    </row>
    <row r="8">
      <c r="A8" s="6" t="inlineStr">
        <is>
          <t>Pain</t>
        </is>
      </c>
      <c r="B8" s="18">
        <f>Actuals!B7*(1+Actuals!B$11/(Actuals!B$12-Actuals!B$11))</f>
        <v/>
      </c>
      <c r="C8" s="18">
        <f>Actuals!C7*(1+Actuals!C$11/(Actuals!C$12-Actuals!C$11))</f>
        <v/>
      </c>
      <c r="D8" s="18">
        <f>Actuals!D7*(1+Actuals!D$11/(Actuals!D$12-Actuals!D$11))</f>
        <v/>
      </c>
      <c r="E8" s="18">
        <f>Actuals!E7*(1+Actuals!E$11/(Actuals!E$12-Actuals!E$11))</f>
        <v/>
      </c>
      <c r="F8" s="18">
        <f>Actuals!F7*(1+Actuals!F$11/(Actuals!F$12-Actuals!F$11))</f>
        <v/>
      </c>
      <c r="G8" s="18">
        <f>Actuals!G7*(1+Actuals!G$11/(Actuals!G$12-Actuals!G$11))</f>
        <v/>
      </c>
      <c r="H8" s="18">
        <f>Actuals!H7*(1+Actuals!H$11/(Actuals!H$12-Actuals!H$11))</f>
        <v/>
      </c>
      <c r="I8" s="19">
        <f>SUM(B8:H8)</f>
        <v/>
      </c>
    </row>
    <row r="9">
      <c r="A9" s="6" t="inlineStr">
        <is>
          <t>Foot</t>
        </is>
      </c>
      <c r="B9" s="18">
        <f>Actuals!B8*(1+Actuals!B$11/(Actuals!B$12-Actuals!B$11))</f>
        <v/>
      </c>
      <c r="C9" s="18">
        <f>Actuals!C8*(1+Actuals!C$11/(Actuals!C$12-Actuals!C$11))</f>
        <v/>
      </c>
      <c r="D9" s="18">
        <f>Actuals!D8*(1+Actuals!D$11/(Actuals!D$12-Actuals!D$11))</f>
        <v/>
      </c>
      <c r="E9" s="18">
        <f>Actuals!E8*(1+Actuals!E$11/(Actuals!E$12-Actuals!E$11))</f>
        <v/>
      </c>
      <c r="F9" s="18">
        <f>Actuals!F8*(1+Actuals!F$11/(Actuals!F$12-Actuals!F$11))</f>
        <v/>
      </c>
      <c r="G9" s="18">
        <f>Actuals!G8*(1+Actuals!G$11/(Actuals!G$12-Actuals!G$11))</f>
        <v/>
      </c>
      <c r="H9" s="18">
        <f>Actuals!H8*(1+Actuals!H$11/(Actuals!H$12-Actuals!H$11))</f>
        <v/>
      </c>
      <c r="I9" s="19">
        <f>SUM(B9:H9)</f>
        <v/>
      </c>
    </row>
    <row r="10">
      <c r="A10" s="6" t="inlineStr">
        <is>
          <t>Hand</t>
        </is>
      </c>
      <c r="B10" s="18">
        <f>Actuals!B9*(1+Actuals!B$11/(Actuals!B$12-Actuals!B$11))</f>
        <v/>
      </c>
      <c r="C10" s="18">
        <f>Actuals!C9*(1+Actuals!C$11/(Actuals!C$12-Actuals!C$11))</f>
        <v/>
      </c>
      <c r="D10" s="18">
        <f>Actuals!D9*(1+Actuals!D$11/(Actuals!D$12-Actuals!D$11))</f>
        <v/>
      </c>
      <c r="E10" s="18">
        <f>Actuals!E9*(1+Actuals!E$11/(Actuals!E$12-Actuals!E$11))</f>
        <v/>
      </c>
      <c r="F10" s="18">
        <f>Actuals!F9*(1+Actuals!F$11/(Actuals!F$12-Actuals!F$11))</f>
        <v/>
      </c>
      <c r="G10" s="18">
        <f>Actuals!G9*(1+Actuals!G$11/(Actuals!G$12-Actuals!G$11))</f>
        <v/>
      </c>
      <c r="H10" s="18">
        <f>Actuals!H9*(1+Actuals!H$11/(Actuals!H$12-Actuals!H$11))</f>
        <v/>
      </c>
      <c r="I10" s="19">
        <f>SUM(B10:H10)</f>
        <v/>
      </c>
    </row>
    <row r="11">
      <c r="A11" s="6" t="inlineStr">
        <is>
          <t>PCP</t>
        </is>
      </c>
      <c r="B11" s="18">
        <f>Actuals!B10*(1+Actuals!B$11/(Actuals!B$12-Actuals!B$11))</f>
        <v/>
      </c>
      <c r="C11" s="18">
        <f>Actuals!C10*(1+Actuals!C$11/(Actuals!C$12-Actuals!C$11))</f>
        <v/>
      </c>
      <c r="D11" s="18">
        <f>Actuals!D10*(1+Actuals!D$11/(Actuals!D$12-Actuals!D$11))</f>
        <v/>
      </c>
      <c r="E11" s="18">
        <f>Actuals!E10*(1+Actuals!E$11/(Actuals!E$12-Actuals!E$11))</f>
        <v/>
      </c>
      <c r="F11" s="18">
        <f>Actuals!F10*(1+Actuals!F$11/(Actuals!F$12-Actuals!F$11))</f>
        <v/>
      </c>
      <c r="G11" s="18">
        <f>Actuals!G10*(1+Actuals!G$11/(Actuals!G$12-Actuals!G$11))</f>
        <v/>
      </c>
      <c r="H11" s="18">
        <f>Actuals!H10*(1+Actuals!H$11/(Actuals!H$12-Actuals!H$11))</f>
        <v/>
      </c>
      <c r="I11" s="19">
        <f>SUM(B11:H11)</f>
        <v/>
      </c>
    </row>
    <row r="12">
      <c r="A12" s="10" t="inlineStr">
        <is>
          <t>Total</t>
        </is>
      </c>
      <c r="B12" s="20">
        <f>SUM(B6:B11)</f>
        <v/>
      </c>
      <c r="C12" s="20">
        <f>SUM(C6:C11)</f>
        <v/>
      </c>
      <c r="D12" s="20">
        <f>SUM(D6:D11)</f>
        <v/>
      </c>
      <c r="E12" s="20">
        <f>SUM(E6:E11)</f>
        <v/>
      </c>
      <c r="F12" s="20">
        <f>SUM(F6:F11)</f>
        <v/>
      </c>
      <c r="G12" s="20">
        <f>SUM(G6:G11)</f>
        <v/>
      </c>
      <c r="H12" s="20">
        <f>SUM(H6:H11)</f>
        <v/>
      </c>
      <c r="I12" s="20">
        <f>SUM(I6:I11)</f>
        <v/>
      </c>
    </row>
    <row r="14">
      <c r="A14" s="3" t="inlineStr">
        <is>
          <t>Budget</t>
        </is>
      </c>
    </row>
    <row r="15" ht="28" customHeight="1">
      <c r="A15" s="5" t="inlineStr">
        <is>
          <t>Service Line</t>
        </is>
      </c>
      <c r="B15" s="5" t="inlineStr">
        <is>
          <t>Jan-26</t>
        </is>
      </c>
      <c r="C15" s="5" t="inlineStr">
        <is>
          <t>Feb-26</t>
        </is>
      </c>
      <c r="D15" s="5" t="inlineStr">
        <is>
          <t>Mar-26</t>
        </is>
      </c>
      <c r="E15" s="5" t="inlineStr">
        <is>
          <t>Apr-26</t>
        </is>
      </c>
      <c r="F15" s="5" t="inlineStr">
        <is>
          <t>May-26</t>
        </is>
      </c>
      <c r="G15" s="5" t="inlineStr">
        <is>
          <t>Jun-26</t>
        </is>
      </c>
      <c r="H15" s="5" t="inlineStr">
        <is>
          <t>Jul-26</t>
        </is>
      </c>
      <c r="I15" s="5" t="inlineStr">
        <is>
          <t>YTD</t>
        </is>
      </c>
    </row>
    <row r="16">
      <c r="A16" s="6" t="inlineStr">
        <is>
          <t>Ortho</t>
        </is>
      </c>
      <c r="B16" s="18">
        <f>Budget!B6</f>
        <v/>
      </c>
      <c r="C16" s="18">
        <f>Budget!C6</f>
        <v/>
      </c>
      <c r="D16" s="18">
        <f>Budget!D6</f>
        <v/>
      </c>
      <c r="E16" s="18">
        <f>Budget!E6</f>
        <v/>
      </c>
      <c r="F16" s="18">
        <f>Budget!F6</f>
        <v/>
      </c>
      <c r="G16" s="18">
        <f>Budget!G6</f>
        <v/>
      </c>
      <c r="H16" s="18">
        <f>Budget!H6</f>
        <v/>
      </c>
      <c r="I16" s="19">
        <f>SUM(B16:H16)</f>
        <v/>
      </c>
    </row>
    <row r="17">
      <c r="A17" s="6" t="inlineStr">
        <is>
          <t>Spine</t>
        </is>
      </c>
      <c r="B17" s="18">
        <f>Budget!B7</f>
        <v/>
      </c>
      <c r="C17" s="18">
        <f>Budget!C7</f>
        <v/>
      </c>
      <c r="D17" s="18">
        <f>Budget!D7</f>
        <v/>
      </c>
      <c r="E17" s="18">
        <f>Budget!E7</f>
        <v/>
      </c>
      <c r="F17" s="18">
        <f>Budget!F7</f>
        <v/>
      </c>
      <c r="G17" s="18">
        <f>Budget!G7</f>
        <v/>
      </c>
      <c r="H17" s="18">
        <f>Budget!H7</f>
        <v/>
      </c>
      <c r="I17" s="19">
        <f>SUM(B17:H17)</f>
        <v/>
      </c>
    </row>
    <row r="18">
      <c r="A18" s="6" t="inlineStr">
        <is>
          <t>Pain</t>
        </is>
      </c>
      <c r="B18" s="18">
        <f>Budget!B8</f>
        <v/>
      </c>
      <c r="C18" s="18">
        <f>Budget!C8</f>
        <v/>
      </c>
      <c r="D18" s="18">
        <f>Budget!D8</f>
        <v/>
      </c>
      <c r="E18" s="18">
        <f>Budget!E8</f>
        <v/>
      </c>
      <c r="F18" s="18">
        <f>Budget!F8</f>
        <v/>
      </c>
      <c r="G18" s="18">
        <f>Budget!G8</f>
        <v/>
      </c>
      <c r="H18" s="18">
        <f>Budget!H8</f>
        <v/>
      </c>
      <c r="I18" s="19">
        <f>SUM(B18:H18)</f>
        <v/>
      </c>
    </row>
    <row r="19">
      <c r="A19" s="6" t="inlineStr">
        <is>
          <t>Foot</t>
        </is>
      </c>
      <c r="B19" s="18">
        <f>Budget!B9</f>
        <v/>
      </c>
      <c r="C19" s="18">
        <f>Budget!C9</f>
        <v/>
      </c>
      <c r="D19" s="18">
        <f>Budget!D9</f>
        <v/>
      </c>
      <c r="E19" s="18">
        <f>Budget!E9</f>
        <v/>
      </c>
      <c r="F19" s="18">
        <f>Budget!F9</f>
        <v/>
      </c>
      <c r="G19" s="18">
        <f>Budget!G9</f>
        <v/>
      </c>
      <c r="H19" s="18">
        <f>Budget!H9</f>
        <v/>
      </c>
      <c r="I19" s="19">
        <f>SUM(B19:H19)</f>
        <v/>
      </c>
    </row>
    <row r="20">
      <c r="A20" s="6" t="inlineStr">
        <is>
          <t>Hand</t>
        </is>
      </c>
      <c r="B20" s="18">
        <f>Budget!B10</f>
        <v/>
      </c>
      <c r="C20" s="18">
        <f>Budget!C10</f>
        <v/>
      </c>
      <c r="D20" s="18">
        <f>Budget!D10</f>
        <v/>
      </c>
      <c r="E20" s="18">
        <f>Budget!E10</f>
        <v/>
      </c>
      <c r="F20" s="18">
        <f>Budget!F10</f>
        <v/>
      </c>
      <c r="G20" s="18">
        <f>Budget!G10</f>
        <v/>
      </c>
      <c r="H20" s="18">
        <f>Budget!H10</f>
        <v/>
      </c>
      <c r="I20" s="19">
        <f>SUM(B20:H20)</f>
        <v/>
      </c>
    </row>
    <row r="21">
      <c r="A21" s="6" t="inlineStr">
        <is>
          <t>PCP</t>
        </is>
      </c>
      <c r="B21" s="18">
        <f>Budget!B11</f>
        <v/>
      </c>
      <c r="C21" s="18">
        <f>Budget!C11</f>
        <v/>
      </c>
      <c r="D21" s="18">
        <f>Budget!D11</f>
        <v/>
      </c>
      <c r="E21" s="18">
        <f>Budget!E11</f>
        <v/>
      </c>
      <c r="F21" s="18">
        <f>Budget!F11</f>
        <v/>
      </c>
      <c r="G21" s="18">
        <f>Budget!G11</f>
        <v/>
      </c>
      <c r="H21" s="18">
        <f>Budget!H11</f>
        <v/>
      </c>
      <c r="I21" s="19">
        <f>SUM(B21:H21)</f>
        <v/>
      </c>
    </row>
    <row r="22">
      <c r="A22" s="10" t="inlineStr">
        <is>
          <t>Total</t>
        </is>
      </c>
      <c r="B22" s="20">
        <f>SUM(B16:B21)</f>
        <v/>
      </c>
      <c r="C22" s="20">
        <f>SUM(C16:C21)</f>
        <v/>
      </c>
      <c r="D22" s="20">
        <f>SUM(D16:D21)</f>
        <v/>
      </c>
      <c r="E22" s="20">
        <f>SUM(E16:E21)</f>
        <v/>
      </c>
      <c r="F22" s="20">
        <f>SUM(F16:F21)</f>
        <v/>
      </c>
      <c r="G22" s="20">
        <f>SUM(G16:G21)</f>
        <v/>
      </c>
      <c r="H22" s="20">
        <f>SUM(H16:H21)</f>
        <v/>
      </c>
      <c r="I22" s="20">
        <f>SUM(I16:I21)</f>
        <v/>
      </c>
    </row>
    <row r="24">
      <c r="A24" s="3" t="inlineStr">
        <is>
          <t>Variance — actual less budget (negative = behind)</t>
        </is>
      </c>
    </row>
    <row r="25" ht="28" customHeight="1">
      <c r="A25" s="5" t="inlineStr">
        <is>
          <t>Service Line</t>
        </is>
      </c>
      <c r="B25" s="5" t="inlineStr">
        <is>
          <t>Jan-26</t>
        </is>
      </c>
      <c r="C25" s="5" t="inlineStr">
        <is>
          <t>Feb-26</t>
        </is>
      </c>
      <c r="D25" s="5" t="inlineStr">
        <is>
          <t>Mar-26</t>
        </is>
      </c>
      <c r="E25" s="5" t="inlineStr">
        <is>
          <t>Apr-26</t>
        </is>
      </c>
      <c r="F25" s="5" t="inlineStr">
        <is>
          <t>May-26</t>
        </is>
      </c>
      <c r="G25" s="5" t="inlineStr">
        <is>
          <t>Jun-26</t>
        </is>
      </c>
      <c r="H25" s="5" t="inlineStr">
        <is>
          <t>Jul-26</t>
        </is>
      </c>
      <c r="I25" s="5" t="inlineStr">
        <is>
          <t>YTD</t>
        </is>
      </c>
    </row>
    <row r="26">
      <c r="A26" s="6" t="inlineStr">
        <is>
          <t>Ortho</t>
        </is>
      </c>
      <c r="B26" s="21">
        <f>B6-B16</f>
        <v/>
      </c>
      <c r="C26" s="21">
        <f>C6-C16</f>
        <v/>
      </c>
      <c r="D26" s="21">
        <f>D6-D16</f>
        <v/>
      </c>
      <c r="E26" s="21">
        <f>E6-E16</f>
        <v/>
      </c>
      <c r="F26" s="21">
        <f>F6-F16</f>
        <v/>
      </c>
      <c r="G26" s="21">
        <f>G6-G16</f>
        <v/>
      </c>
      <c r="H26" s="21">
        <f>H6-H16</f>
        <v/>
      </c>
      <c r="I26" s="21">
        <f>I6-I16</f>
        <v/>
      </c>
    </row>
    <row r="27">
      <c r="A27" s="6" t="inlineStr">
        <is>
          <t>Spine</t>
        </is>
      </c>
      <c r="B27" s="21">
        <f>B7-B17</f>
        <v/>
      </c>
      <c r="C27" s="21">
        <f>C7-C17</f>
        <v/>
      </c>
      <c r="D27" s="21">
        <f>D7-D17</f>
        <v/>
      </c>
      <c r="E27" s="21">
        <f>E7-E17</f>
        <v/>
      </c>
      <c r="F27" s="21">
        <f>F7-F17</f>
        <v/>
      </c>
      <c r="G27" s="21">
        <f>G7-G17</f>
        <v/>
      </c>
      <c r="H27" s="21">
        <f>H7-H17</f>
        <v/>
      </c>
      <c r="I27" s="21">
        <f>I7-I17</f>
        <v/>
      </c>
    </row>
    <row r="28">
      <c r="A28" s="6" t="inlineStr">
        <is>
          <t>Pain</t>
        </is>
      </c>
      <c r="B28" s="21">
        <f>B8-B18</f>
        <v/>
      </c>
      <c r="C28" s="21">
        <f>C8-C18</f>
        <v/>
      </c>
      <c r="D28" s="21">
        <f>D8-D18</f>
        <v/>
      </c>
      <c r="E28" s="21">
        <f>E8-E18</f>
        <v/>
      </c>
      <c r="F28" s="21">
        <f>F8-F18</f>
        <v/>
      </c>
      <c r="G28" s="21">
        <f>G8-G18</f>
        <v/>
      </c>
      <c r="H28" s="21">
        <f>H8-H18</f>
        <v/>
      </c>
      <c r="I28" s="21">
        <f>I8-I18</f>
        <v/>
      </c>
    </row>
    <row r="29">
      <c r="A29" s="6" t="inlineStr">
        <is>
          <t>Foot</t>
        </is>
      </c>
      <c r="B29" s="21">
        <f>B9-B19</f>
        <v/>
      </c>
      <c r="C29" s="21">
        <f>C9-C19</f>
        <v/>
      </c>
      <c r="D29" s="21">
        <f>D9-D19</f>
        <v/>
      </c>
      <c r="E29" s="21">
        <f>E9-E19</f>
        <v/>
      </c>
      <c r="F29" s="21">
        <f>F9-F19</f>
        <v/>
      </c>
      <c r="G29" s="21">
        <f>G9-G19</f>
        <v/>
      </c>
      <c r="H29" s="21">
        <f>H9-H19</f>
        <v/>
      </c>
      <c r="I29" s="21">
        <f>I9-I19</f>
        <v/>
      </c>
    </row>
    <row r="30">
      <c r="A30" s="6" t="inlineStr">
        <is>
          <t>Hand</t>
        </is>
      </c>
      <c r="B30" s="21">
        <f>B10-B20</f>
        <v/>
      </c>
      <c r="C30" s="21">
        <f>C10-C20</f>
        <v/>
      </c>
      <c r="D30" s="21">
        <f>D10-D20</f>
        <v/>
      </c>
      <c r="E30" s="21">
        <f>E10-E20</f>
        <v/>
      </c>
      <c r="F30" s="21">
        <f>F10-F20</f>
        <v/>
      </c>
      <c r="G30" s="21">
        <f>G10-G20</f>
        <v/>
      </c>
      <c r="H30" s="21">
        <f>H10-H20</f>
        <v/>
      </c>
      <c r="I30" s="21">
        <f>I10-I20</f>
        <v/>
      </c>
    </row>
    <row r="31">
      <c r="A31" s="6" t="inlineStr">
        <is>
          <t>PCP</t>
        </is>
      </c>
      <c r="B31" s="21">
        <f>B11-B21</f>
        <v/>
      </c>
      <c r="C31" s="21">
        <f>C11-C21</f>
        <v/>
      </c>
      <c r="D31" s="21">
        <f>D11-D21</f>
        <v/>
      </c>
      <c r="E31" s="21">
        <f>E11-E21</f>
        <v/>
      </c>
      <c r="F31" s="21">
        <f>F11-F21</f>
        <v/>
      </c>
      <c r="G31" s="21">
        <f>G11-G21</f>
        <v/>
      </c>
      <c r="H31" s="21">
        <f>H11-H21</f>
        <v/>
      </c>
      <c r="I31" s="21">
        <f>I11-I21</f>
        <v/>
      </c>
    </row>
    <row r="32">
      <c r="A32" s="10" t="inlineStr">
        <is>
          <t>Total</t>
        </is>
      </c>
      <c r="B32" s="22">
        <f>B12-B22</f>
        <v/>
      </c>
      <c r="C32" s="22">
        <f>C12-C22</f>
        <v/>
      </c>
      <c r="D32" s="22">
        <f>D12-D22</f>
        <v/>
      </c>
      <c r="E32" s="22">
        <f>E12-E22</f>
        <v/>
      </c>
      <c r="F32" s="22">
        <f>F12-F22</f>
        <v/>
      </c>
      <c r="G32" s="22">
        <f>G12-G22</f>
        <v/>
      </c>
      <c r="H32" s="22">
        <f>H12-H22</f>
        <v/>
      </c>
      <c r="I32" s="22">
        <f>I12-I22</f>
        <v/>
      </c>
    </row>
    <row r="34">
      <c r="A34" s="3" t="inlineStr">
        <is>
          <t>Attainment — actual as a percent of budget</t>
        </is>
      </c>
    </row>
    <row r="35" ht="28" customHeight="1">
      <c r="A35" s="5" t="inlineStr">
        <is>
          <t>Service Line</t>
        </is>
      </c>
      <c r="B35" s="5" t="inlineStr">
        <is>
          <t>Jan-26</t>
        </is>
      </c>
      <c r="C35" s="5" t="inlineStr">
        <is>
          <t>Feb-26</t>
        </is>
      </c>
      <c r="D35" s="5" t="inlineStr">
        <is>
          <t>Mar-26</t>
        </is>
      </c>
      <c r="E35" s="5" t="inlineStr">
        <is>
          <t>Apr-26</t>
        </is>
      </c>
      <c r="F35" s="5" t="inlineStr">
        <is>
          <t>May-26</t>
        </is>
      </c>
      <c r="G35" s="5" t="inlineStr">
        <is>
          <t>Jun-26</t>
        </is>
      </c>
      <c r="H35" s="5" t="inlineStr">
        <is>
          <t>Jul-26</t>
        </is>
      </c>
      <c r="I35" s="5" t="inlineStr">
        <is>
          <t>YTD</t>
        </is>
      </c>
    </row>
    <row r="36">
      <c r="A36" s="6" t="inlineStr">
        <is>
          <t>Ortho</t>
        </is>
      </c>
      <c r="B36" s="23">
        <f>IFERROR(B6/B16,"")</f>
        <v/>
      </c>
      <c r="C36" s="23">
        <f>IFERROR(C6/C16,"")</f>
        <v/>
      </c>
      <c r="D36" s="23">
        <f>IFERROR(D6/D16,"")</f>
        <v/>
      </c>
      <c r="E36" s="23">
        <f>IFERROR(E6/E16,"")</f>
        <v/>
      </c>
      <c r="F36" s="23">
        <f>IFERROR(F6/F16,"")</f>
        <v/>
      </c>
      <c r="G36" s="23">
        <f>IFERROR(G6/G16,"")</f>
        <v/>
      </c>
      <c r="H36" s="23">
        <f>IFERROR(H6/H16,"")</f>
        <v/>
      </c>
      <c r="I36" s="23">
        <f>IFERROR(I6/I16,"")</f>
        <v/>
      </c>
    </row>
    <row r="37">
      <c r="A37" s="6" t="inlineStr">
        <is>
          <t>Spine</t>
        </is>
      </c>
      <c r="B37" s="23">
        <f>IFERROR(B7/B17,"")</f>
        <v/>
      </c>
      <c r="C37" s="23">
        <f>IFERROR(C7/C17,"")</f>
        <v/>
      </c>
      <c r="D37" s="23">
        <f>IFERROR(D7/D17,"")</f>
        <v/>
      </c>
      <c r="E37" s="23">
        <f>IFERROR(E7/E17,"")</f>
        <v/>
      </c>
      <c r="F37" s="23">
        <f>IFERROR(F7/F17,"")</f>
        <v/>
      </c>
      <c r="G37" s="23">
        <f>IFERROR(G7/G17,"")</f>
        <v/>
      </c>
      <c r="H37" s="23">
        <f>IFERROR(H7/H17,"")</f>
        <v/>
      </c>
      <c r="I37" s="23">
        <f>IFERROR(I7/I17,"")</f>
        <v/>
      </c>
    </row>
    <row r="38">
      <c r="A38" s="6" t="inlineStr">
        <is>
          <t>Pain</t>
        </is>
      </c>
      <c r="B38" s="23">
        <f>IFERROR(B8/B18,"")</f>
        <v/>
      </c>
      <c r="C38" s="23">
        <f>IFERROR(C8/C18,"")</f>
        <v/>
      </c>
      <c r="D38" s="23">
        <f>IFERROR(D8/D18,"")</f>
        <v/>
      </c>
      <c r="E38" s="23">
        <f>IFERROR(E8/E18,"")</f>
        <v/>
      </c>
      <c r="F38" s="23">
        <f>IFERROR(F8/F18,"")</f>
        <v/>
      </c>
      <c r="G38" s="23">
        <f>IFERROR(G8/G18,"")</f>
        <v/>
      </c>
      <c r="H38" s="23">
        <f>IFERROR(H8/H18,"")</f>
        <v/>
      </c>
      <c r="I38" s="23">
        <f>IFERROR(I8/I18,"")</f>
        <v/>
      </c>
    </row>
    <row r="39">
      <c r="A39" s="6" t="inlineStr">
        <is>
          <t>Foot</t>
        </is>
      </c>
      <c r="B39" s="23">
        <f>IFERROR(B9/B19,"")</f>
        <v/>
      </c>
      <c r="C39" s="23">
        <f>IFERROR(C9/C19,"")</f>
        <v/>
      </c>
      <c r="D39" s="23">
        <f>IFERROR(D9/D19,"")</f>
        <v/>
      </c>
      <c r="E39" s="23">
        <f>IFERROR(E9/E19,"")</f>
        <v/>
      </c>
      <c r="F39" s="23">
        <f>IFERROR(F9/F19,"")</f>
        <v/>
      </c>
      <c r="G39" s="23">
        <f>IFERROR(G9/G19,"")</f>
        <v/>
      </c>
      <c r="H39" s="23">
        <f>IFERROR(H9/H19,"")</f>
        <v/>
      </c>
      <c r="I39" s="23">
        <f>IFERROR(I9/I19,"")</f>
        <v/>
      </c>
    </row>
    <row r="40">
      <c r="A40" s="6" t="inlineStr">
        <is>
          <t>Hand</t>
        </is>
      </c>
      <c r="B40" s="23">
        <f>IFERROR(B10/B20,"")</f>
        <v/>
      </c>
      <c r="C40" s="23">
        <f>IFERROR(C10/C20,"")</f>
        <v/>
      </c>
      <c r="D40" s="23">
        <f>IFERROR(D10/D20,"")</f>
        <v/>
      </c>
      <c r="E40" s="23">
        <f>IFERROR(E10/E20,"")</f>
        <v/>
      </c>
      <c r="F40" s="23">
        <f>IFERROR(F10/F20,"")</f>
        <v/>
      </c>
      <c r="G40" s="23">
        <f>IFERROR(G10/G20,"")</f>
        <v/>
      </c>
      <c r="H40" s="23">
        <f>IFERROR(H10/H20,"")</f>
        <v/>
      </c>
      <c r="I40" s="23">
        <f>IFERROR(I10/I20,"")</f>
        <v/>
      </c>
    </row>
    <row r="41">
      <c r="A41" s="6" t="inlineStr">
        <is>
          <t>PCP</t>
        </is>
      </c>
      <c r="B41" s="23">
        <f>IFERROR(B11/B21,"")</f>
        <v/>
      </c>
      <c r="C41" s="23">
        <f>IFERROR(C11/C21,"")</f>
        <v/>
      </c>
      <c r="D41" s="23">
        <f>IFERROR(D11/D21,"")</f>
        <v/>
      </c>
      <c r="E41" s="23">
        <f>IFERROR(E11/E21,"")</f>
        <v/>
      </c>
      <c r="F41" s="23">
        <f>IFERROR(F11/F21,"")</f>
        <v/>
      </c>
      <c r="G41" s="23">
        <f>IFERROR(G11/G21,"")</f>
        <v/>
      </c>
      <c r="H41" s="23">
        <f>IFERROR(H11/H21,"")</f>
        <v/>
      </c>
      <c r="I41" s="23">
        <f>IFERROR(I11/I21,"")</f>
        <v/>
      </c>
    </row>
    <row r="42">
      <c r="A42" s="10" t="inlineStr">
        <is>
          <t>Total</t>
        </is>
      </c>
      <c r="B42" s="24">
        <f>IFERROR(B12/B22,"")</f>
        <v/>
      </c>
      <c r="C42" s="24">
        <f>IFERROR(C12/C22,"")</f>
        <v/>
      </c>
      <c r="D42" s="24">
        <f>IFERROR(D12/D22,"")</f>
        <v/>
      </c>
      <c r="E42" s="24">
        <f>IFERROR(E12/E22,"")</f>
        <v/>
      </c>
      <c r="F42" s="24">
        <f>IFERROR(F12/F22,"")</f>
        <v/>
      </c>
      <c r="G42" s="24">
        <f>IFERROR(G12/G22,"")</f>
        <v/>
      </c>
      <c r="H42" s="24">
        <f>IFERROR(H12/H22,"")</f>
        <v/>
      </c>
      <c r="I42" s="24">
        <f>IFERROR(I12/I22,"")</f>
        <v/>
      </c>
    </row>
    <row r="44">
      <c r="A44" s="2" t="inlineStr">
        <is>
          <t>Pro-rata allocation formula: service line actual x (1 + PA volume / non-PA volume). Totals reconcile exactly to the Actuals tab.</t>
        </is>
      </c>
    </row>
    <row r="45">
      <c r="A45" s="2" t="inlineStr">
        <is>
          <t>Conditional formatting on the attainment block: red below 90% of budget, amber 90-100%, green at or above 100%.</t>
        </is>
      </c>
    </row>
  </sheetData>
  <mergeCells count="4">
    <mergeCell ref="A34:I34"/>
    <mergeCell ref="A4:I4"/>
    <mergeCell ref="A24:I24"/>
    <mergeCell ref="A14:I14"/>
  </mergeCells>
  <conditionalFormatting sqref="B36:I42">
    <cfRule type="cellIs" priority="1" operator="lessThan" dxfId="0">
      <formula>0.9</formula>
    </cfRule>
    <cfRule type="cellIs" priority="2" operator="between" dxfId="1">
      <formula>0.9</formula>
      <formula>1</formula>
    </cfRule>
    <cfRule type="cellIs" priority="3" operator="greaterThanOrEqual" dxfId="2">
      <formula>1</formula>
    </cfRule>
  </conditionalFormatting>
  <conditionalFormatting sqref="B26:I32">
    <cfRule type="cellIs" priority="4" operator="lessThan" dxfId="3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Performance Trends — January through July 2026</t>
        </is>
      </c>
    </row>
    <row r="2">
      <c r="A2" s="2" t="inlineStr">
        <is>
          <t>Volume normalised by operating day, so short months are not penalised.</t>
        </is>
      </c>
    </row>
    <row r="4">
      <c r="A4" s="3" t="inlineStr">
        <is>
          <t>Total new patients — trend</t>
        </is>
      </c>
    </row>
    <row r="5" ht="30" customHeight="1">
      <c r="A5" s="5" t="inlineStr">
        <is>
          <t>Measure</t>
        </is>
      </c>
      <c r="B5" s="5" t="inlineStr">
        <is>
          <t>Jan-26</t>
        </is>
      </c>
      <c r="C5" s="5" t="inlineStr">
        <is>
          <t>Feb-26</t>
        </is>
      </c>
      <c r="D5" s="5" t="inlineStr">
        <is>
          <t>Mar-26</t>
        </is>
      </c>
      <c r="E5" s="5" t="inlineStr">
        <is>
          <t>Apr-26</t>
        </is>
      </c>
      <c r="F5" s="5" t="inlineStr">
        <is>
          <t>May-26</t>
        </is>
      </c>
      <c r="G5" s="5" t="inlineStr">
        <is>
          <t>Jun-26</t>
        </is>
      </c>
      <c r="H5" s="5" t="inlineStr">
        <is>
          <t>Jul-26</t>
        </is>
      </c>
      <c r="I5" s="5" t="inlineStr">
        <is>
          <t>YTD</t>
        </is>
      </c>
    </row>
    <row r="6">
      <c r="A6" s="6" t="inlineStr">
        <is>
          <t>Actual new patients</t>
        </is>
      </c>
      <c r="B6" s="25">
        <f>Actuals!B12</f>
        <v/>
      </c>
      <c r="C6" s="25">
        <f>Actuals!C12</f>
        <v/>
      </c>
      <c r="D6" s="25">
        <f>Actuals!D12</f>
        <v/>
      </c>
      <c r="E6" s="25">
        <f>Actuals!E12</f>
        <v/>
      </c>
      <c r="F6" s="25">
        <f>Actuals!F12</f>
        <v/>
      </c>
      <c r="G6" s="25">
        <f>Actuals!G12</f>
        <v/>
      </c>
      <c r="H6" s="25">
        <f>Actuals!H12</f>
        <v/>
      </c>
      <c r="I6" s="9">
        <f>SUM(B6:H6)</f>
        <v/>
      </c>
    </row>
    <row r="7">
      <c r="A7" s="6" t="inlineStr">
        <is>
          <t>Budget</t>
        </is>
      </c>
      <c r="B7" s="25">
        <f>'Perf to Budget'!B22</f>
        <v/>
      </c>
      <c r="C7" s="25">
        <f>'Perf to Budget'!C22</f>
        <v/>
      </c>
      <c r="D7" s="25">
        <f>'Perf to Budget'!D22</f>
        <v/>
      </c>
      <c r="E7" s="25">
        <f>'Perf to Budget'!E22</f>
        <v/>
      </c>
      <c r="F7" s="25">
        <f>'Perf to Budget'!F22</f>
        <v/>
      </c>
      <c r="G7" s="25">
        <f>'Perf to Budget'!G22</f>
        <v/>
      </c>
      <c r="H7" s="25">
        <f>'Perf to Budget'!H22</f>
        <v/>
      </c>
      <c r="I7" s="9">
        <f>SUM(B7:H7)</f>
        <v/>
      </c>
    </row>
    <row r="8">
      <c r="A8" s="6" t="inlineStr">
        <is>
          <t>Variance to budget</t>
        </is>
      </c>
      <c r="B8" s="21">
        <f>B6-B7</f>
        <v/>
      </c>
      <c r="C8" s="21">
        <f>C6-C7</f>
        <v/>
      </c>
      <c r="D8" s="21">
        <f>D6-D7</f>
        <v/>
      </c>
      <c r="E8" s="21">
        <f>E6-E7</f>
        <v/>
      </c>
      <c r="F8" s="21">
        <f>F6-F7</f>
        <v/>
      </c>
      <c r="G8" s="21">
        <f>G6-G7</f>
        <v/>
      </c>
      <c r="H8" s="21">
        <f>H6-H7</f>
        <v/>
      </c>
      <c r="I8" s="26">
        <f>SUM(B8:H8)</f>
        <v/>
      </c>
    </row>
    <row r="9">
      <c r="A9" s="6" t="inlineStr">
        <is>
          <t>Attainment vs budget</t>
        </is>
      </c>
      <c r="B9" s="23">
        <f>B6/B7</f>
        <v/>
      </c>
      <c r="C9" s="23">
        <f>C6/C7</f>
        <v/>
      </c>
      <c r="D9" s="23">
        <f>D6/D7</f>
        <v/>
      </c>
      <c r="E9" s="23">
        <f>E6/E7</f>
        <v/>
      </c>
      <c r="F9" s="23">
        <f>F6/F7</f>
        <v/>
      </c>
      <c r="G9" s="23">
        <f>G6/G7</f>
        <v/>
      </c>
      <c r="H9" s="23">
        <f>H6/H7</f>
        <v/>
      </c>
      <c r="I9" s="27">
        <f>I6/I7</f>
        <v/>
      </c>
    </row>
    <row r="10">
      <c r="A10" s="6" t="inlineStr">
        <is>
          <t>Operating days</t>
        </is>
      </c>
      <c r="B10" s="25">
        <f>Actuals!B14</f>
        <v/>
      </c>
      <c r="C10" s="25">
        <f>Actuals!C14</f>
        <v/>
      </c>
      <c r="D10" s="25">
        <f>Actuals!D14</f>
        <v/>
      </c>
      <c r="E10" s="25">
        <f>Actuals!E14</f>
        <v/>
      </c>
      <c r="F10" s="25">
        <f>Actuals!F14</f>
        <v/>
      </c>
      <c r="G10" s="25">
        <f>Actuals!G14</f>
        <v/>
      </c>
      <c r="H10" s="25">
        <f>Actuals!H14</f>
        <v/>
      </c>
      <c r="I10" s="9">
        <f>SUM(B10:H10)</f>
        <v/>
      </c>
    </row>
    <row r="11">
      <c r="A11" s="6" t="inlineStr">
        <is>
          <t>Per operating day</t>
        </is>
      </c>
      <c r="B11" s="28">
        <f>B6/B10</f>
        <v/>
      </c>
      <c r="C11" s="28">
        <f>C6/C10</f>
        <v/>
      </c>
      <c r="D11" s="28">
        <f>D6/D10</f>
        <v/>
      </c>
      <c r="E11" s="28">
        <f>E6/E10</f>
        <v/>
      </c>
      <c r="F11" s="28">
        <f>F6/F10</f>
        <v/>
      </c>
      <c r="G11" s="28">
        <f>G6/G10</f>
        <v/>
      </c>
      <c r="H11" s="28">
        <f>H6/H10</f>
        <v/>
      </c>
      <c r="I11" s="19">
        <f>I6/I10</f>
        <v/>
      </c>
    </row>
    <row r="12">
      <c r="A12" s="6" t="inlineStr">
        <is>
          <t>Per operating day — MoM</t>
        </is>
      </c>
      <c r="B12" s="29" t="inlineStr"/>
      <c r="C12" s="29">
        <f>C11/B11-1</f>
        <v/>
      </c>
      <c r="D12" s="29">
        <f>D11/C11-1</f>
        <v/>
      </c>
      <c r="E12" s="29">
        <f>E11/D11-1</f>
        <v/>
      </c>
      <c r="F12" s="29">
        <f>F11/E11-1</f>
        <v/>
      </c>
      <c r="G12" s="29">
        <f>G11/F11-1</f>
        <v/>
      </c>
      <c r="H12" s="29">
        <f>H11/G11-1</f>
        <v/>
      </c>
      <c r="I12" s="30" t="n"/>
    </row>
    <row r="13">
      <c r="A13" s="6" t="inlineStr">
        <is>
          <t>Per operating day — index, Jan = 100</t>
        </is>
      </c>
      <c r="B13" s="28">
        <f>B11/$B$11*100</f>
        <v/>
      </c>
      <c r="C13" s="28">
        <f>C11/$B$11*100</f>
        <v/>
      </c>
      <c r="D13" s="28">
        <f>D11/$B$11*100</f>
        <v/>
      </c>
      <c r="E13" s="28">
        <f>E11/$B$11*100</f>
        <v/>
      </c>
      <c r="F13" s="28">
        <f>F11/$B$11*100</f>
        <v/>
      </c>
      <c r="G13" s="28">
        <f>G11/$B$11*100</f>
        <v/>
      </c>
      <c r="H13" s="28">
        <f>H11/$B$11*100</f>
        <v/>
      </c>
      <c r="I13" s="19" t="n"/>
    </row>
    <row r="14">
      <c r="A14" s="6" t="inlineStr">
        <is>
          <t>3-month rolling avg per operating day</t>
        </is>
      </c>
      <c r="B14" s="28" t="inlineStr"/>
      <c r="C14" s="28" t="inlineStr"/>
      <c r="D14" s="28">
        <f>AVERAGE(B11:D11)</f>
        <v/>
      </c>
      <c r="E14" s="28">
        <f>AVERAGE(C11:E11)</f>
        <v/>
      </c>
      <c r="F14" s="28">
        <f>AVERAGE(D11:F11)</f>
        <v/>
      </c>
      <c r="G14" s="28">
        <f>AVERAGE(E11:G11)</f>
        <v/>
      </c>
      <c r="H14" s="28">
        <f>AVERAGE(F11:H11)</f>
        <v/>
      </c>
      <c r="I14" s="19" t="n"/>
    </row>
    <row r="17">
      <c r="A17" s="3" t="inlineStr">
        <is>
          <t>Service line — volume, half-on-half growth and budget attainment</t>
        </is>
      </c>
    </row>
    <row r="18" ht="30" customHeight="1">
      <c r="A18" s="5" t="inlineStr">
        <is>
          <t>Service Line</t>
        </is>
      </c>
      <c r="B18" s="5" t="inlineStr">
        <is>
          <t>Jan-26</t>
        </is>
      </c>
      <c r="C18" s="5" t="inlineStr">
        <is>
          <t>Feb-26</t>
        </is>
      </c>
      <c r="D18" s="5" t="inlineStr">
        <is>
          <t>Mar-26</t>
        </is>
      </c>
      <c r="E18" s="5" t="inlineStr">
        <is>
          <t>Apr-26</t>
        </is>
      </c>
      <c r="F18" s="5" t="inlineStr">
        <is>
          <t>May-26</t>
        </is>
      </c>
      <c r="G18" s="5" t="inlineStr">
        <is>
          <t>Jun-26</t>
        </is>
      </c>
      <c r="H18" s="5" t="inlineStr">
        <is>
          <t>Jul-26</t>
        </is>
      </c>
      <c r="I18" s="5" t="inlineStr">
        <is>
          <t>YTD</t>
        </is>
      </c>
      <c r="J18" s="5" t="inlineStr">
        <is>
          <t>Jan-Mar</t>
        </is>
      </c>
      <c r="K18" s="5" t="inlineStr">
        <is>
          <t>Apr-Jul</t>
        </is>
      </c>
      <c r="L18" s="5" t="inlineStr">
        <is>
          <t>Apr-Jul vs Jan-Mar per month</t>
        </is>
      </c>
      <c r="M18" s="5" t="inlineStr">
        <is>
          <t>YTD attainment</t>
        </is>
      </c>
    </row>
    <row r="19">
      <c r="A19" s="6" t="inlineStr">
        <is>
          <t>Ortho</t>
        </is>
      </c>
      <c r="B19" s="25">
        <f>'Perf to Budget'!B6</f>
        <v/>
      </c>
      <c r="C19" s="25">
        <f>'Perf to Budget'!C6</f>
        <v/>
      </c>
      <c r="D19" s="25">
        <f>'Perf to Budget'!D6</f>
        <v/>
      </c>
      <c r="E19" s="25">
        <f>'Perf to Budget'!E6</f>
        <v/>
      </c>
      <c r="F19" s="25">
        <f>'Perf to Budget'!F6</f>
        <v/>
      </c>
      <c r="G19" s="25">
        <f>'Perf to Budget'!G6</f>
        <v/>
      </c>
      <c r="H19" s="25">
        <f>'Perf to Budget'!H6</f>
        <v/>
      </c>
      <c r="I19" s="9">
        <f>SUM(B19:H19)</f>
        <v/>
      </c>
      <c r="J19" s="19">
        <f>SUM(B19:D19)/3</f>
        <v/>
      </c>
      <c r="K19" s="19">
        <f>SUM(E19:H19)/4</f>
        <v/>
      </c>
      <c r="L19" s="30">
        <f>K19/J19-1</f>
        <v/>
      </c>
      <c r="M19" s="27">
        <f>'Perf to Budget'!I36</f>
        <v/>
      </c>
    </row>
    <row r="20">
      <c r="A20" s="6" t="inlineStr">
        <is>
          <t>Spine</t>
        </is>
      </c>
      <c r="B20" s="25">
        <f>'Perf to Budget'!B7</f>
        <v/>
      </c>
      <c r="C20" s="25">
        <f>'Perf to Budget'!C7</f>
        <v/>
      </c>
      <c r="D20" s="25">
        <f>'Perf to Budget'!D7</f>
        <v/>
      </c>
      <c r="E20" s="25">
        <f>'Perf to Budget'!E7</f>
        <v/>
      </c>
      <c r="F20" s="25">
        <f>'Perf to Budget'!F7</f>
        <v/>
      </c>
      <c r="G20" s="25">
        <f>'Perf to Budget'!G7</f>
        <v/>
      </c>
      <c r="H20" s="25">
        <f>'Perf to Budget'!H7</f>
        <v/>
      </c>
      <c r="I20" s="9">
        <f>SUM(B20:H20)</f>
        <v/>
      </c>
      <c r="J20" s="19">
        <f>SUM(B20:D20)/3</f>
        <v/>
      </c>
      <c r="K20" s="19">
        <f>SUM(E20:H20)/4</f>
        <v/>
      </c>
      <c r="L20" s="30">
        <f>K20/J20-1</f>
        <v/>
      </c>
      <c r="M20" s="27">
        <f>'Perf to Budget'!I37</f>
        <v/>
      </c>
    </row>
    <row r="21">
      <c r="A21" s="6" t="inlineStr">
        <is>
          <t>Pain</t>
        </is>
      </c>
      <c r="B21" s="25">
        <f>'Perf to Budget'!B8</f>
        <v/>
      </c>
      <c r="C21" s="25">
        <f>'Perf to Budget'!C8</f>
        <v/>
      </c>
      <c r="D21" s="25">
        <f>'Perf to Budget'!D8</f>
        <v/>
      </c>
      <c r="E21" s="25">
        <f>'Perf to Budget'!E8</f>
        <v/>
      </c>
      <c r="F21" s="25">
        <f>'Perf to Budget'!F8</f>
        <v/>
      </c>
      <c r="G21" s="25">
        <f>'Perf to Budget'!G8</f>
        <v/>
      </c>
      <c r="H21" s="25">
        <f>'Perf to Budget'!H8</f>
        <v/>
      </c>
      <c r="I21" s="9">
        <f>SUM(B21:H21)</f>
        <v/>
      </c>
      <c r="J21" s="19">
        <f>SUM(B21:D21)/3</f>
        <v/>
      </c>
      <c r="K21" s="19">
        <f>SUM(E21:H21)/4</f>
        <v/>
      </c>
      <c r="L21" s="30">
        <f>K21/J21-1</f>
        <v/>
      </c>
      <c r="M21" s="27">
        <f>'Perf to Budget'!I38</f>
        <v/>
      </c>
    </row>
    <row r="22">
      <c r="A22" s="6" t="inlineStr">
        <is>
          <t>Foot</t>
        </is>
      </c>
      <c r="B22" s="25">
        <f>'Perf to Budget'!B9</f>
        <v/>
      </c>
      <c r="C22" s="25">
        <f>'Perf to Budget'!C9</f>
        <v/>
      </c>
      <c r="D22" s="25">
        <f>'Perf to Budget'!D9</f>
        <v/>
      </c>
      <c r="E22" s="25">
        <f>'Perf to Budget'!E9</f>
        <v/>
      </c>
      <c r="F22" s="25">
        <f>'Perf to Budget'!F9</f>
        <v/>
      </c>
      <c r="G22" s="25">
        <f>'Perf to Budget'!G9</f>
        <v/>
      </c>
      <c r="H22" s="25">
        <f>'Perf to Budget'!H9</f>
        <v/>
      </c>
      <c r="I22" s="9">
        <f>SUM(B22:H22)</f>
        <v/>
      </c>
      <c r="J22" s="19">
        <f>SUM(B22:D22)/3</f>
        <v/>
      </c>
      <c r="K22" s="19">
        <f>SUM(E22:H22)/4</f>
        <v/>
      </c>
      <c r="L22" s="30">
        <f>K22/J22-1</f>
        <v/>
      </c>
      <c r="M22" s="27">
        <f>'Perf to Budget'!I39</f>
        <v/>
      </c>
    </row>
    <row r="23">
      <c r="A23" s="6" t="inlineStr">
        <is>
          <t>Hand</t>
        </is>
      </c>
      <c r="B23" s="25">
        <f>'Perf to Budget'!B10</f>
        <v/>
      </c>
      <c r="C23" s="25">
        <f>'Perf to Budget'!C10</f>
        <v/>
      </c>
      <c r="D23" s="25">
        <f>'Perf to Budget'!D10</f>
        <v/>
      </c>
      <c r="E23" s="25">
        <f>'Perf to Budget'!E10</f>
        <v/>
      </c>
      <c r="F23" s="25">
        <f>'Perf to Budget'!F10</f>
        <v/>
      </c>
      <c r="G23" s="25">
        <f>'Perf to Budget'!G10</f>
        <v/>
      </c>
      <c r="H23" s="25">
        <f>'Perf to Budget'!H10</f>
        <v/>
      </c>
      <c r="I23" s="9">
        <f>SUM(B23:H23)</f>
        <v/>
      </c>
      <c r="J23" s="19">
        <f>SUM(B23:D23)/3</f>
        <v/>
      </c>
      <c r="K23" s="19">
        <f>SUM(E23:H23)/4</f>
        <v/>
      </c>
      <c r="L23" s="30">
        <f>K23/J23-1</f>
        <v/>
      </c>
      <c r="M23" s="27">
        <f>'Perf to Budget'!I40</f>
        <v/>
      </c>
    </row>
    <row r="24">
      <c r="A24" s="6" t="inlineStr">
        <is>
          <t>PCP</t>
        </is>
      </c>
      <c r="B24" s="25">
        <f>'Perf to Budget'!B11</f>
        <v/>
      </c>
      <c r="C24" s="25">
        <f>'Perf to Budget'!C11</f>
        <v/>
      </c>
      <c r="D24" s="25">
        <f>'Perf to Budget'!D11</f>
        <v/>
      </c>
      <c r="E24" s="25">
        <f>'Perf to Budget'!E11</f>
        <v/>
      </c>
      <c r="F24" s="25">
        <f>'Perf to Budget'!F11</f>
        <v/>
      </c>
      <c r="G24" s="25">
        <f>'Perf to Budget'!G11</f>
        <v/>
      </c>
      <c r="H24" s="25">
        <f>'Perf to Budget'!H11</f>
        <v/>
      </c>
      <c r="I24" s="9">
        <f>SUM(B24:H24)</f>
        <v/>
      </c>
      <c r="J24" s="19">
        <f>SUM(B24:D24)/3</f>
        <v/>
      </c>
      <c r="K24" s="19">
        <f>SUM(E24:H24)/4</f>
        <v/>
      </c>
      <c r="L24" s="30">
        <f>K24/J24-1</f>
        <v/>
      </c>
      <c r="M24" s="27">
        <f>'Perf to Budget'!I41</f>
        <v/>
      </c>
    </row>
    <row r="25">
      <c r="A25" s="10" t="inlineStr">
        <is>
          <t>Total</t>
        </is>
      </c>
      <c r="B25" s="11">
        <f>SUM(B19:B24)</f>
        <v/>
      </c>
      <c r="C25" s="11">
        <f>SUM(C19:C24)</f>
        <v/>
      </c>
      <c r="D25" s="11">
        <f>SUM(D19:D24)</f>
        <v/>
      </c>
      <c r="E25" s="11">
        <f>SUM(E19:E24)</f>
        <v/>
      </c>
      <c r="F25" s="11">
        <f>SUM(F19:F24)</f>
        <v/>
      </c>
      <c r="G25" s="11">
        <f>SUM(G19:G24)</f>
        <v/>
      </c>
      <c r="H25" s="11">
        <f>SUM(H19:H24)</f>
        <v/>
      </c>
      <c r="I25" s="11">
        <f>SUM(I19:I24)</f>
        <v/>
      </c>
      <c r="J25" s="20">
        <f>SUM(B25:D25)/3</f>
        <v/>
      </c>
      <c r="K25" s="20">
        <f>SUM(E25:H25)/4</f>
        <v/>
      </c>
      <c r="L25" s="31">
        <f>K25/J25-1</f>
        <v/>
      </c>
      <c r="M25" s="24">
        <f>'Perf to Budget'!I42</f>
        <v/>
      </c>
    </row>
    <row r="28">
      <c r="A28" s="3" t="inlineStr">
        <is>
          <t>Full-year 2026 projection at the current run rate</t>
        </is>
      </c>
    </row>
    <row r="29" ht="30" customHeight="1">
      <c r="A29" s="5" t="inlineStr">
        <is>
          <t>Service Line</t>
        </is>
      </c>
      <c r="B29" s="5" t="inlineStr">
        <is>
          <t>Trailing 3-mo per operating day</t>
        </is>
      </c>
      <c r="C29" s="5" t="inlineStr">
        <is>
          <t>Aug-Dec operating days</t>
        </is>
      </c>
      <c r="D29" s="5" t="inlineStr">
        <is>
          <t>Aug-Dec projected</t>
        </is>
      </c>
      <c r="E29" s="5" t="inlineStr">
        <is>
          <t>Jan-Jul actual</t>
        </is>
      </c>
      <c r="F29" s="5" t="inlineStr">
        <is>
          <t>FY 2026 projected</t>
        </is>
      </c>
      <c r="G29" s="5" t="inlineStr">
        <is>
          <t>FY 2026 budget</t>
        </is>
      </c>
      <c r="H29" s="5" t="inlineStr">
        <is>
          <t>Projected variance</t>
        </is>
      </c>
      <c r="I29" s="5" t="inlineStr">
        <is>
          <t>Projected attainment</t>
        </is>
      </c>
    </row>
    <row r="30">
      <c r="A30" s="6" t="inlineStr">
        <is>
          <t>Ortho</t>
        </is>
      </c>
      <c r="B30" s="28">
        <f>SUM('Perf to Budget'!F6:H6)/SUM(Actuals!$F$14:$H$14)</f>
        <v/>
      </c>
      <c r="C30" s="32">
        <f>SUM(Actuals!$I$14:$M$14)</f>
        <v/>
      </c>
      <c r="D30" s="32">
        <f>B30*C30</f>
        <v/>
      </c>
      <c r="E30" s="32">
        <f>'Perf to Budget'!I6</f>
        <v/>
      </c>
      <c r="F30" s="32">
        <f>D30+E30</f>
        <v/>
      </c>
      <c r="G30" s="32">
        <f>Budget!N6</f>
        <v/>
      </c>
      <c r="H30" s="21">
        <f>F30-G30</f>
        <v/>
      </c>
      <c r="I30" s="23">
        <f>F30/G30</f>
        <v/>
      </c>
    </row>
    <row r="31">
      <c r="A31" s="6" t="inlineStr">
        <is>
          <t>Spine</t>
        </is>
      </c>
      <c r="B31" s="28">
        <f>SUM('Perf to Budget'!F7:H7)/SUM(Actuals!$F$14:$H$14)</f>
        <v/>
      </c>
      <c r="C31" s="32">
        <f>SUM(Actuals!$I$14:$M$14)</f>
        <v/>
      </c>
      <c r="D31" s="32">
        <f>B31*C31</f>
        <v/>
      </c>
      <c r="E31" s="32">
        <f>'Perf to Budget'!I7</f>
        <v/>
      </c>
      <c r="F31" s="32">
        <f>D31+E31</f>
        <v/>
      </c>
      <c r="G31" s="32">
        <f>Budget!N7</f>
        <v/>
      </c>
      <c r="H31" s="21">
        <f>F31-G31</f>
        <v/>
      </c>
      <c r="I31" s="23">
        <f>F31/G31</f>
        <v/>
      </c>
    </row>
    <row r="32">
      <c r="A32" s="6" t="inlineStr">
        <is>
          <t>Pain</t>
        </is>
      </c>
      <c r="B32" s="28">
        <f>SUM('Perf to Budget'!F8:H8)/SUM(Actuals!$F$14:$H$14)</f>
        <v/>
      </c>
      <c r="C32" s="32">
        <f>SUM(Actuals!$I$14:$M$14)</f>
        <v/>
      </c>
      <c r="D32" s="32">
        <f>B32*C32</f>
        <v/>
      </c>
      <c r="E32" s="32">
        <f>'Perf to Budget'!I8</f>
        <v/>
      </c>
      <c r="F32" s="32">
        <f>D32+E32</f>
        <v/>
      </c>
      <c r="G32" s="32">
        <f>Budget!N8</f>
        <v/>
      </c>
      <c r="H32" s="21">
        <f>F32-G32</f>
        <v/>
      </c>
      <c r="I32" s="23">
        <f>F32/G32</f>
        <v/>
      </c>
    </row>
    <row r="33">
      <c r="A33" s="6" t="inlineStr">
        <is>
          <t>Foot</t>
        </is>
      </c>
      <c r="B33" s="28">
        <f>SUM('Perf to Budget'!F9:H9)/SUM(Actuals!$F$14:$H$14)</f>
        <v/>
      </c>
      <c r="C33" s="32">
        <f>SUM(Actuals!$I$14:$M$14)</f>
        <v/>
      </c>
      <c r="D33" s="32">
        <f>B33*C33</f>
        <v/>
      </c>
      <c r="E33" s="32">
        <f>'Perf to Budget'!I9</f>
        <v/>
      </c>
      <c r="F33" s="32">
        <f>D33+E33</f>
        <v/>
      </c>
      <c r="G33" s="32">
        <f>Budget!N9</f>
        <v/>
      </c>
      <c r="H33" s="21">
        <f>F33-G33</f>
        <v/>
      </c>
      <c r="I33" s="23">
        <f>F33/G33</f>
        <v/>
      </c>
    </row>
    <row r="34">
      <c r="A34" s="6" t="inlineStr">
        <is>
          <t>Hand</t>
        </is>
      </c>
      <c r="B34" s="28">
        <f>SUM('Perf to Budget'!F10:H10)/SUM(Actuals!$F$14:$H$14)</f>
        <v/>
      </c>
      <c r="C34" s="32">
        <f>SUM(Actuals!$I$14:$M$14)</f>
        <v/>
      </c>
      <c r="D34" s="32">
        <f>B34*C34</f>
        <v/>
      </c>
      <c r="E34" s="32">
        <f>'Perf to Budget'!I10</f>
        <v/>
      </c>
      <c r="F34" s="32">
        <f>D34+E34</f>
        <v/>
      </c>
      <c r="G34" s="32">
        <f>Budget!N10</f>
        <v/>
      </c>
      <c r="H34" s="21">
        <f>F34-G34</f>
        <v/>
      </c>
      <c r="I34" s="23">
        <f>F34/G34</f>
        <v/>
      </c>
    </row>
    <row r="35">
      <c r="A35" s="6" t="inlineStr">
        <is>
          <t>PCP</t>
        </is>
      </c>
      <c r="B35" s="28">
        <f>SUM('Perf to Budget'!F11:H11)/SUM(Actuals!$F$14:$H$14)</f>
        <v/>
      </c>
      <c r="C35" s="32">
        <f>SUM(Actuals!$I$14:$M$14)</f>
        <v/>
      </c>
      <c r="D35" s="32">
        <f>B35*C35</f>
        <v/>
      </c>
      <c r="E35" s="32">
        <f>'Perf to Budget'!I11</f>
        <v/>
      </c>
      <c r="F35" s="32">
        <f>D35+E35</f>
        <v/>
      </c>
      <c r="G35" s="32">
        <f>Budget!N11</f>
        <v/>
      </c>
      <c r="H35" s="21">
        <f>F35-G35</f>
        <v/>
      </c>
      <c r="I35" s="23">
        <f>F35/G35</f>
        <v/>
      </c>
    </row>
    <row r="36">
      <c r="A36" s="10" t="inlineStr">
        <is>
          <t>Total</t>
        </is>
      </c>
      <c r="B36" s="20">
        <f>SUM(B30:B35)</f>
        <v/>
      </c>
      <c r="C36" s="11">
        <f>C30</f>
        <v/>
      </c>
      <c r="D36" s="11">
        <f>SUM(D30:D35)</f>
        <v/>
      </c>
      <c r="E36" s="11">
        <f>SUM(E30:E35)</f>
        <v/>
      </c>
      <c r="F36" s="11">
        <f>SUM(F30:F35)</f>
        <v/>
      </c>
      <c r="G36" s="11">
        <f>SUM(G30:G35)</f>
        <v/>
      </c>
      <c r="H36" s="22">
        <f>G36-H36</f>
        <v/>
      </c>
      <c r="I36" s="24">
        <f>G36/H36</f>
        <v/>
      </c>
    </row>
    <row r="38">
      <c r="A38" s="2" t="inlineStr">
        <is>
          <t>Run rate = May-July actual per operating day, the most recent and most representative three months. It carries no seasonality adjustment.</t>
        </is>
      </c>
    </row>
    <row r="39">
      <c r="A39" s="2" t="inlineStr">
        <is>
          <t>Aug-Dec operating days come from the Actuals tab, row 14. Correct them for your real clinic calendar and this projection updates.</t>
        </is>
      </c>
    </row>
    <row r="40">
      <c r="A40" s="2" t="inlineStr">
        <is>
          <t>The budget is materially front-half weighted (Mar, Apr and Jun are the three largest budgeted months); actual volume has instead built steadily through the year.</t>
        </is>
      </c>
    </row>
  </sheetData>
  <mergeCells count="3">
    <mergeCell ref="A28:J28"/>
    <mergeCell ref="A17:J17"/>
    <mergeCell ref="A4:J4"/>
  </mergeCells>
  <conditionalFormatting sqref="M19:M25">
    <cfRule type="cellIs" priority="1" operator="lessThan" dxfId="4">
      <formula>0.9</formula>
    </cfRule>
    <cfRule type="cellIs" priority="2" operator="greaterThanOrEqual" dxfId="5">
      <formula>1</formula>
    </cfRule>
  </conditionalFormatting>
  <conditionalFormatting sqref="L19:L25">
    <cfRule type="cellIs" priority="3" operator="lessThan" dxfId="6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7" customWidth="1" min="2" max="2"/>
    <col width="22" customWidth="1" min="3" max="3"/>
    <col width="17" customWidth="1" min="4" max="4"/>
    <col width="30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August 2026 New Patient Scorecard</t>
        </is>
      </c>
    </row>
    <row r="2">
      <c r="A2" s="2" t="inlineStr">
        <is>
          <t>Targets, weekly pacing and thresholds. Yellow cells are the choices to own; everything else calculates.</t>
        </is>
      </c>
    </row>
    <row r="4">
      <c r="A4" s="3" t="inlineStr">
        <is>
          <t>The month at a glance</t>
        </is>
      </c>
    </row>
    <row r="5">
      <c r="A5" s="12" t="inlineStr">
        <is>
          <t>August budget</t>
        </is>
      </c>
      <c r="C5" s="12" t="inlineStr">
        <is>
          <t>Run-rate forecast</t>
        </is>
      </c>
      <c r="E5" s="12" t="inlineStr">
        <is>
          <t>Recommended target</t>
        </is>
      </c>
      <c r="G5" s="12" t="inlineStr">
        <is>
          <t>Operating days</t>
        </is>
      </c>
    </row>
    <row r="6">
      <c r="A6" s="33">
        <f>Budget!I12</f>
        <v/>
      </c>
      <c r="C6" s="33">
        <f>E17</f>
        <v/>
      </c>
      <c r="E6" s="33">
        <f>F17</f>
        <v/>
      </c>
      <c r="G6" s="34">
        <f>Actuals!I14</f>
        <v/>
      </c>
    </row>
    <row r="9">
      <c r="A9" s="3" t="inlineStr">
        <is>
          <t>Targets by service line</t>
        </is>
      </c>
    </row>
    <row r="10" ht="30" customHeight="1">
      <c r="A10" s="5" t="inlineStr">
        <is>
          <t>Service Line</t>
        </is>
      </c>
      <c r="B10" s="5" t="inlineStr">
        <is>
          <t>August budget</t>
        </is>
      </c>
      <c r="C10" s="5" t="inlineStr">
        <is>
          <t>Trailing 3-mo per operating day</t>
        </is>
      </c>
      <c r="D10" s="5" t="inlineStr">
        <is>
          <t>Aug operating days</t>
        </is>
      </c>
      <c r="E10" s="5" t="inlineStr">
        <is>
          <t>Run-rate forecast</t>
        </is>
      </c>
      <c r="F10" s="5" t="inlineStr">
        <is>
          <t>Recommended target</t>
        </is>
      </c>
      <c r="G10" s="5" t="inlineStr">
        <is>
          <t>Gap: target less budget</t>
        </is>
      </c>
      <c r="H10" s="5" t="inlineStr">
        <is>
          <t>Per operating day needed</t>
        </is>
      </c>
    </row>
    <row r="11">
      <c r="A11" s="6" t="inlineStr">
        <is>
          <t>Ortho</t>
        </is>
      </c>
      <c r="B11" s="18">
        <f>Budget!I6</f>
        <v/>
      </c>
      <c r="C11" s="28">
        <f>SUM('Perf to Budget'!F6:H6)/SUM(Actuals!$F$14:$H$14)</f>
        <v/>
      </c>
      <c r="D11" s="25">
        <f>Actuals!$I$14</f>
        <v/>
      </c>
      <c r="E11" s="28">
        <f>C11*D11</f>
        <v/>
      </c>
      <c r="F11" s="35">
        <f>MAX(B11,E11)</f>
        <v/>
      </c>
      <c r="G11" s="21">
        <f>F11-B11</f>
        <v/>
      </c>
      <c r="H11" s="28">
        <f>F11/D11</f>
        <v/>
      </c>
    </row>
    <row r="12">
      <c r="A12" s="6" t="inlineStr">
        <is>
          <t>Spine</t>
        </is>
      </c>
      <c r="B12" s="18">
        <f>Budget!I7</f>
        <v/>
      </c>
      <c r="C12" s="28">
        <f>SUM('Perf to Budget'!F7:H7)/SUM(Actuals!$F$14:$H$14)</f>
        <v/>
      </c>
      <c r="D12" s="25">
        <f>Actuals!$I$14</f>
        <v/>
      </c>
      <c r="E12" s="28">
        <f>C12*D12</f>
        <v/>
      </c>
      <c r="F12" s="35">
        <f>MAX(B12,E12)</f>
        <v/>
      </c>
      <c r="G12" s="21">
        <f>F12-B12</f>
        <v/>
      </c>
      <c r="H12" s="28">
        <f>F12/D12</f>
        <v/>
      </c>
    </row>
    <row r="13">
      <c r="A13" s="6" t="inlineStr">
        <is>
          <t>Pain</t>
        </is>
      </c>
      <c r="B13" s="18">
        <f>Budget!I8</f>
        <v/>
      </c>
      <c r="C13" s="28">
        <f>SUM('Perf to Budget'!F8:H8)/SUM(Actuals!$F$14:$H$14)</f>
        <v/>
      </c>
      <c r="D13" s="25">
        <f>Actuals!$I$14</f>
        <v/>
      </c>
      <c r="E13" s="28">
        <f>C13*D13</f>
        <v/>
      </c>
      <c r="F13" s="35">
        <f>MAX(B13,E13)</f>
        <v/>
      </c>
      <c r="G13" s="21">
        <f>F13-B13</f>
        <v/>
      </c>
      <c r="H13" s="28">
        <f>F13/D13</f>
        <v/>
      </c>
    </row>
    <row r="14">
      <c r="A14" s="6" t="inlineStr">
        <is>
          <t>Foot</t>
        </is>
      </c>
      <c r="B14" s="18">
        <f>Budget!I9</f>
        <v/>
      </c>
      <c r="C14" s="28">
        <f>SUM('Perf to Budget'!F9:H9)/SUM(Actuals!$F$14:$H$14)</f>
        <v/>
      </c>
      <c r="D14" s="25">
        <f>Actuals!$I$14</f>
        <v/>
      </c>
      <c r="E14" s="28">
        <f>C14*D14</f>
        <v/>
      </c>
      <c r="F14" s="35">
        <f>MAX(B14,E14)</f>
        <v/>
      </c>
      <c r="G14" s="21">
        <f>F14-B14</f>
        <v/>
      </c>
      <c r="H14" s="28">
        <f>F14/D14</f>
        <v/>
      </c>
    </row>
    <row r="15">
      <c r="A15" s="6" t="inlineStr">
        <is>
          <t>Hand</t>
        </is>
      </c>
      <c r="B15" s="18">
        <f>Budget!I10</f>
        <v/>
      </c>
      <c r="C15" s="28">
        <f>SUM('Perf to Budget'!F10:H10)/SUM(Actuals!$F$14:$H$14)</f>
        <v/>
      </c>
      <c r="D15" s="25">
        <f>Actuals!$I$14</f>
        <v/>
      </c>
      <c r="E15" s="28">
        <f>C15*D15</f>
        <v/>
      </c>
      <c r="F15" s="35">
        <f>MAX(B15,E15)</f>
        <v/>
      </c>
      <c r="G15" s="21">
        <f>F15-B15</f>
        <v/>
      </c>
      <c r="H15" s="28">
        <f>F15/D15</f>
        <v/>
      </c>
    </row>
    <row r="16">
      <c r="A16" s="6" t="inlineStr">
        <is>
          <t>PCP</t>
        </is>
      </c>
      <c r="B16" s="18">
        <f>Budget!I11</f>
        <v/>
      </c>
      <c r="C16" s="28">
        <f>SUM('Perf to Budget'!F11:H11)/SUM(Actuals!$F$14:$H$14)</f>
        <v/>
      </c>
      <c r="D16" s="25">
        <f>Actuals!$I$14</f>
        <v/>
      </c>
      <c r="E16" s="28">
        <f>C16*D16</f>
        <v/>
      </c>
      <c r="F16" s="35">
        <f>MAX(B16,E16)</f>
        <v/>
      </c>
      <c r="G16" s="21">
        <f>F16-B16</f>
        <v/>
      </c>
      <c r="H16" s="28">
        <f>F16/D16</f>
        <v/>
      </c>
    </row>
    <row r="17">
      <c r="A17" s="10" t="inlineStr">
        <is>
          <t>Total</t>
        </is>
      </c>
      <c r="B17" s="20">
        <f>SUM(B11:B16)</f>
        <v/>
      </c>
      <c r="C17" s="20">
        <f>E17/D17</f>
        <v/>
      </c>
      <c r="D17" s="11">
        <f>Actuals!$I$14</f>
        <v/>
      </c>
      <c r="E17" s="20">
        <f>SUM(E11:E16)</f>
        <v/>
      </c>
      <c r="F17" s="20">
        <f>SUM(F11:F16)</f>
        <v/>
      </c>
      <c r="G17" s="22">
        <f>SUM(G11:G16)</f>
        <v/>
      </c>
      <c r="H17" s="20">
        <f>F17/D17</f>
        <v/>
      </c>
    </row>
    <row r="19">
      <c r="A19" s="2" t="inlineStr">
        <is>
          <t>Recommended target = the higher of the August budget and the current run rate, so no line is asked to go backwards from where it is actually running.</t>
        </is>
      </c>
    </row>
    <row r="20">
      <c r="A20" s="2" t="inlineStr">
        <is>
          <t>Every line except Hand is running below its August budget, so for those five the recommended target IS the budget and the gap column shows what closing it costs.</t>
        </is>
      </c>
    </row>
    <row r="22">
      <c r="A22" s="3" t="inlineStr">
        <is>
          <t>Threshold — how August gets graded</t>
        </is>
      </c>
    </row>
    <row r="23" ht="30" customHeight="1">
      <c r="A23" s="5" t="inlineStr">
        <is>
          <t>Grade</t>
        </is>
      </c>
      <c r="B23" s="5" t="inlineStr">
        <is>
          <t>Total new patients</t>
        </is>
      </c>
      <c r="C23" s="5" t="inlineStr">
        <is>
          <t>Definition</t>
        </is>
      </c>
    </row>
    <row r="24">
      <c r="A24" s="6" t="inlineStr">
        <is>
          <t>Green — at or above budget</t>
        </is>
      </c>
      <c r="B24" s="28">
        <f>B17</f>
        <v/>
      </c>
      <c r="C24" s="36" t="inlineStr">
        <is>
          <t>Hits the August budget of roughly 1,260 new patients.</t>
        </is>
      </c>
    </row>
    <row r="25">
      <c r="A25" s="6" t="inlineStr">
        <is>
          <t>Amber — at run rate</t>
        </is>
      </c>
      <c r="B25" s="28">
        <f>E17</f>
        <v/>
      </c>
      <c r="C25" s="36" t="inlineStr">
        <is>
          <t>Holds the May-July run rate. Real progress, still short of budget.</t>
        </is>
      </c>
    </row>
    <row r="26">
      <c r="A26" s="6" t="inlineStr">
        <is>
          <t>Red — below run rate</t>
        </is>
      </c>
      <c r="B26" s="28">
        <f>E17*0.95</f>
        <v/>
      </c>
      <c r="C26" s="36" t="inlineStr">
        <is>
          <t>More than 5% below the current run rate; the seven-month improvement has stalled.</t>
        </is>
      </c>
    </row>
    <row r="28">
      <c r="A28" s="3" t="inlineStr">
        <is>
          <t>Weekly pacing — where the month should stand each Friday</t>
        </is>
      </c>
    </row>
    <row r="29" ht="30" customHeight="1">
      <c r="A29" s="5" t="inlineStr">
        <is>
          <t>Week</t>
        </is>
      </c>
      <c r="B29" s="5" t="inlineStr">
        <is>
          <t>Dates</t>
        </is>
      </c>
      <c r="C29" s="5" t="inlineStr">
        <is>
          <t>Operating days</t>
        </is>
      </c>
      <c r="D29" s="5" t="inlineStr">
        <is>
          <t>Cumulative operating days</t>
        </is>
      </c>
      <c r="E29" s="5" t="inlineStr">
        <is>
          <t>Cumulative target</t>
        </is>
      </c>
      <c r="F29" s="5" t="inlineStr">
        <is>
          <t>Actual (fill in)</t>
        </is>
      </c>
      <c r="G29" s="5" t="inlineStr">
        <is>
          <t>Variance</t>
        </is>
      </c>
      <c r="H29" s="5" t="inlineStr">
        <is>
          <t>Status</t>
        </is>
      </c>
    </row>
    <row r="30">
      <c r="A30" s="6" t="inlineStr">
        <is>
          <t>Week 1</t>
        </is>
      </c>
      <c r="B30" s="36" t="inlineStr">
        <is>
          <t>Aug 3-7</t>
        </is>
      </c>
      <c r="C30" s="15" t="n">
        <v>5</v>
      </c>
      <c r="D30" s="32">
        <f>C30</f>
        <v/>
      </c>
      <c r="E30" s="28">
        <f>$H$17*D30</f>
        <v/>
      </c>
      <c r="F30" s="7" t="n"/>
      <c r="G30" s="21">
        <f>IF(F30="","",F30-E30)</f>
        <v/>
      </c>
      <c r="H30" s="6">
        <f>IF(F30="","",IF(F30&gt;=E30,"On/above pace",IF(F30&gt;=E30*0.95,"Watch","Behind")))</f>
        <v/>
      </c>
    </row>
    <row r="31">
      <c r="A31" s="6" t="inlineStr">
        <is>
          <t>Week 2</t>
        </is>
      </c>
      <c r="B31" s="36" t="inlineStr">
        <is>
          <t>Aug 10-14</t>
        </is>
      </c>
      <c r="C31" s="15" t="n">
        <v>5</v>
      </c>
      <c r="D31" s="32">
        <f>D30+C31</f>
        <v/>
      </c>
      <c r="E31" s="28">
        <f>$H$17*D31</f>
        <v/>
      </c>
      <c r="F31" s="7" t="n"/>
      <c r="G31" s="21">
        <f>IF(F31="","",F31-E31)</f>
        <v/>
      </c>
      <c r="H31" s="6">
        <f>IF(F31="","",IF(F31&gt;=E31,"On/above pace",IF(F31&gt;=E31*0.95,"Watch","Behind")))</f>
        <v/>
      </c>
    </row>
    <row r="32">
      <c r="A32" s="6" t="inlineStr">
        <is>
          <t>Week 3</t>
        </is>
      </c>
      <c r="B32" s="36" t="inlineStr">
        <is>
          <t>Aug 17-21</t>
        </is>
      </c>
      <c r="C32" s="15" t="n">
        <v>5</v>
      </c>
      <c r="D32" s="32">
        <f>D31+C32</f>
        <v/>
      </c>
      <c r="E32" s="28">
        <f>$H$17*D32</f>
        <v/>
      </c>
      <c r="F32" s="7" t="n"/>
      <c r="G32" s="21">
        <f>IF(F32="","",F32-E32)</f>
        <v/>
      </c>
      <c r="H32" s="6">
        <f>IF(F32="","",IF(F32&gt;=E32,"On/above pace",IF(F32&gt;=E32*0.95,"Watch","Behind")))</f>
        <v/>
      </c>
    </row>
    <row r="33">
      <c r="A33" s="6" t="inlineStr">
        <is>
          <t>Week 4</t>
        </is>
      </c>
      <c r="B33" s="36" t="inlineStr">
        <is>
          <t>Aug 24-28</t>
        </is>
      </c>
      <c r="C33" s="15" t="n">
        <v>5</v>
      </c>
      <c r="D33" s="32">
        <f>D32+C33</f>
        <v/>
      </c>
      <c r="E33" s="28">
        <f>$H$17*D33</f>
        <v/>
      </c>
      <c r="F33" s="7" t="n"/>
      <c r="G33" s="21">
        <f>IF(F33="","",F33-E33)</f>
        <v/>
      </c>
      <c r="H33" s="6">
        <f>IF(F33="","",IF(F33&gt;=E33,"On/above pace",IF(F33&gt;=E33*0.95,"Watch","Behind")))</f>
        <v/>
      </c>
    </row>
    <row r="34">
      <c r="A34" s="6" t="inlineStr">
        <is>
          <t>Week 5</t>
        </is>
      </c>
      <c r="B34" s="36" t="inlineStr">
        <is>
          <t>Aug 31</t>
        </is>
      </c>
      <c r="C34" s="15" t="n">
        <v>1</v>
      </c>
      <c r="D34" s="32">
        <f>D33+C34</f>
        <v/>
      </c>
      <c r="E34" s="28">
        <f>$H$17*D34</f>
        <v/>
      </c>
      <c r="F34" s="7" t="n"/>
      <c r="G34" s="21">
        <f>IF(F34="","",F34-E34)</f>
        <v/>
      </c>
      <c r="H34" s="6">
        <f>IF(F34="","",IF(F34&gt;=E34,"On/above pace",IF(F34&gt;=E34*0.95,"Watch","Behind")))</f>
        <v/>
      </c>
    </row>
    <row r="35">
      <c r="A35" s="2" t="inlineStr">
        <is>
          <t>Cumulative target uses the recommended per-operating-day rate from the table above, so pacing and the monthly target can never disagree.</t>
        </is>
      </c>
    </row>
    <row r="37">
      <c r="A37" s="3" t="inlineStr">
        <is>
          <t>Channel split of the August target</t>
        </is>
      </c>
    </row>
    <row r="38" ht="30" customHeight="1">
      <c r="A38" s="5" t="inlineStr">
        <is>
          <t>Channel</t>
        </is>
      </c>
      <c r="B38" s="5" t="inlineStr">
        <is>
          <t>Budget share</t>
        </is>
      </c>
      <c r="C38" s="5" t="inlineStr">
        <is>
          <t>August target</t>
        </is>
      </c>
      <c r="D38" s="5" t="inlineStr">
        <is>
          <t>Owner</t>
        </is>
      </c>
      <c r="E38" s="5" t="inlineStr">
        <is>
          <t>What has to be true</t>
        </is>
      </c>
    </row>
    <row r="39">
      <c r="A39" s="6" t="inlineStr">
        <is>
          <t>B2C + natural demand</t>
        </is>
      </c>
      <c r="B39" s="37">
        <f>Budget!I27/(Budget!I$27+Budget!I$28)</f>
        <v/>
      </c>
      <c r="C39" s="28">
        <f>$F$17*B39</f>
        <v/>
      </c>
      <c r="D39" s="38" t="inlineStr">
        <is>
          <t>Marketing</t>
        </is>
      </c>
      <c r="E39" s="36" t="inlineStr">
        <is>
          <t>Paid and organic demand hold; the web measurement break is fixed so we can see it.</t>
        </is>
      </c>
    </row>
    <row r="40">
      <c r="A40" s="6" t="inlineStr">
        <is>
          <t>B2B referral / liaison</t>
        </is>
      </c>
      <c r="B40" s="37">
        <f>Budget!I28/(Budget!I$27+Budget!I$28)</f>
        <v/>
      </c>
      <c r="C40" s="28">
        <f>$F$17*B40</f>
        <v/>
      </c>
      <c r="D40" s="38" t="inlineStr">
        <is>
          <t>Physician liaison</t>
        </is>
      </c>
      <c r="E40" s="36" t="inlineStr">
        <is>
          <t>Referral volume from target accounts is captured and attributed in the EMR.</t>
        </is>
      </c>
    </row>
    <row r="42">
      <c r="A42" s="2" t="inlineStr">
        <is>
          <t>Split is the budget assumption, not measured actuals. The EMR export has no referral-source field, so B2C vs B2B cannot yet be verified.</t>
        </is>
      </c>
    </row>
    <row r="44">
      <c r="A44" s="3" t="inlineStr">
        <is>
          <t>Leading indicators to watch weekly</t>
        </is>
      </c>
    </row>
    <row r="45" ht="30" customHeight="1">
      <c r="A45" s="5" t="inlineStr">
        <is>
          <t>Indicator</t>
        </is>
      </c>
      <c r="B45" s="5" t="inlineStr">
        <is>
          <t>Source</t>
        </is>
      </c>
      <c r="C45" s="5" t="inlineStr">
        <is>
          <t>Why it matters</t>
        </is>
      </c>
      <c r="D45" s="5" t="inlineStr">
        <is>
          <t>August watch level</t>
        </is>
      </c>
      <c r="E45" s="5" t="inlineStr">
        <is>
          <t>Owner</t>
        </is>
      </c>
    </row>
    <row r="46" ht="30" customHeight="1">
      <c r="A46" s="39" t="inlineStr">
        <is>
          <t>New patients booked per operating day</t>
        </is>
      </c>
      <c r="B46" s="40" t="inlineStr">
        <is>
          <t>EMR export</t>
        </is>
      </c>
      <c r="C46" s="40" t="inlineStr">
        <is>
          <t>The single number this scorecard grades.</t>
        </is>
      </c>
      <c r="D46" s="41" t="inlineStr">
        <is>
          <t>At or above 53.5</t>
        </is>
      </c>
      <c r="E46" s="41" t="inlineStr">
        <is>
          <t>Practice ops</t>
        </is>
      </c>
    </row>
    <row r="47" ht="30" customHeight="1">
      <c r="A47" s="39" t="inlineStr">
        <is>
          <t>Website sessions per weekday</t>
        </is>
      </c>
      <c r="B47" s="40" t="inlineStr">
        <is>
          <t>GA4 property 370514163</t>
        </is>
      </c>
      <c r="C47" s="40" t="inlineStr">
        <is>
          <t>Leading demand signal — but see the measurement break flagged on Digital Context.</t>
        </is>
      </c>
      <c r="D47" s="41" t="inlineStr">
        <is>
          <t>Restore reporting first</t>
        </is>
      </c>
      <c r="E47" s="41" t="inlineStr">
        <is>
          <t>Marketing</t>
        </is>
      </c>
    </row>
    <row r="48" ht="30" customHeight="1">
      <c r="A48" s="39" t="inlineStr">
        <is>
          <t>Paid search sessions</t>
        </is>
      </c>
      <c r="B48" s="40" t="inlineStr">
        <is>
          <t>GA4 / Google Ads</t>
        </is>
      </c>
      <c r="C48" s="40" t="inlineStr">
        <is>
          <t>Largest single acquisition channel by session volume all year.</t>
        </is>
      </c>
      <c r="D48" s="41" t="inlineStr">
        <is>
          <t>Stable or rising</t>
        </is>
      </c>
      <c r="E48" s="41" t="inlineStr">
        <is>
          <t>Paid agency</t>
        </is>
      </c>
    </row>
    <row r="49" ht="30" customHeight="1">
      <c r="A49" s="39" t="inlineStr">
        <is>
          <t>Spine new patients per operating day</t>
        </is>
      </c>
      <c r="B49" s="40" t="inlineStr">
        <is>
          <t>EMR export</t>
        </is>
      </c>
      <c r="C49" s="40" t="inlineStr">
        <is>
          <t>Worst variance to budget of any line at 74.9% YTD.</t>
        </is>
      </c>
      <c r="D49" s="41" t="inlineStr">
        <is>
          <t>At or above 11.2</t>
        </is>
      </c>
      <c r="E49" s="41" t="inlineStr">
        <is>
          <t>Spine service line</t>
        </is>
      </c>
    </row>
    <row r="50" ht="30" customHeight="1">
      <c r="A50" s="39" t="inlineStr">
        <is>
          <t>Pain new patients per operating day</t>
        </is>
      </c>
      <c r="B50" s="40" t="inlineStr">
        <is>
          <t>EMR export</t>
        </is>
      </c>
      <c r="C50" s="40" t="inlineStr">
        <is>
          <t>Lowest attainment of any line at 60.1% YTD.</t>
        </is>
      </c>
      <c r="D50" s="41" t="inlineStr">
        <is>
          <t>At or above 3.5</t>
        </is>
      </c>
      <c r="E50" s="41" t="inlineStr">
        <is>
          <t>Pain service line</t>
        </is>
      </c>
    </row>
    <row r="51" ht="30" customHeight="1">
      <c r="A51" s="39" t="inlineStr">
        <is>
          <t>Referral volume from target accounts</t>
        </is>
      </c>
      <c r="B51" s="40" t="inlineStr">
        <is>
          <t>Liaison CRM</t>
        </is>
      </c>
      <c r="C51" s="40" t="inlineStr">
        <is>
          <t>21.4% of the budget is assumed to come from B2B and is currently unmeasured.</t>
        </is>
      </c>
      <c r="D51" s="41" t="inlineStr">
        <is>
          <t>Baseline it in August</t>
        </is>
      </c>
      <c r="E51" s="41" t="inlineStr">
        <is>
          <t>Physician liaison</t>
        </is>
      </c>
    </row>
    <row r="52" ht="30" customHeight="1">
      <c r="A52" s="39" t="inlineStr">
        <is>
          <t>Primary Care new patients</t>
        </is>
      </c>
      <c r="B52" s="40" t="inlineStr">
        <is>
          <t>EMR export</t>
        </is>
      </c>
      <c r="C52" s="40" t="inlineStr">
        <is>
          <t>Fell from 53 in January to 16 in July; a real decline, not a rounding issue.</t>
        </is>
      </c>
      <c r="D52" s="41" t="inlineStr">
        <is>
          <t>Diagnose before target</t>
        </is>
      </c>
      <c r="E52" s="41" t="inlineStr">
        <is>
          <t>PCP service line</t>
        </is>
      </c>
    </row>
    <row r="55">
      <c r="A55" s="2" t="inlineStr">
        <is>
          <t>Watch levels in yellow are proposed, not agreed. Confirm them with the service line leads before the month starts.</t>
        </is>
      </c>
    </row>
    <row r="56">
      <c r="A56" s="2" t="inlineStr">
        <is>
          <t>Nothing in this scorecard is a clinical or financial commitment. It measures new patient volume only.</t>
        </is>
      </c>
    </row>
  </sheetData>
  <mergeCells count="6">
    <mergeCell ref="A28:I28"/>
    <mergeCell ref="A37:I37"/>
    <mergeCell ref="A44:I44"/>
    <mergeCell ref="A9:I9"/>
    <mergeCell ref="A22:I22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20" customWidth="1" min="8" max="8"/>
  </cols>
  <sheetData>
    <row r="1">
      <c r="A1" s="1" t="inlineStr">
        <is>
          <t>Digital Context — GA4, January through July 2026</t>
        </is>
      </c>
    </row>
    <row r="2">
      <c r="A2" s="2" t="inlineStr">
        <is>
          <t>Directional only. GA4 measures website behaviour; it does not attribute new patients. Read the data-quality flags first.</t>
        </is>
      </c>
    </row>
    <row r="4">
      <c r="A4" s="3" t="inlineStr">
        <is>
          <t>Data-quality flags — read before using any number on this tab</t>
        </is>
      </c>
    </row>
    <row r="5">
      <c r="A5" s="4" t="inlineStr">
        <is>
          <t>FLAG 1  GA4 recorded almost no traffic from 18 February to 1 March 2026 (single-digit sessions per day against a ~800/day baseline).</t>
        </is>
      </c>
    </row>
    <row r="6">
      <c r="A6" s="4" t="inlineStr">
        <is>
          <t xml:space="preserve">        February and early March web numbers are understated by roughly one week of traffic. Patient volume shows no matching dip.</t>
        </is>
      </c>
    </row>
    <row r="7">
      <c r="A7" s="4" t="inlineStr">
        <is>
          <t>FLAG 2  Sessions step down about 50% from late April onward and stay there — and the drop hits every channel at once, including</t>
        </is>
      </c>
    </row>
    <row r="8">
      <c r="A8" s="4" t="inlineStr">
        <is>
          <t xml:space="preserve">        Direct and Organic. A simultaneous, uniform, all-channel halving is the signature of a tracking or consent change, not of a</t>
        </is>
      </c>
    </row>
    <row r="9">
      <c r="A9" s="4" t="inlineStr">
        <is>
          <t xml:space="preserve">        media decision. Verify against Google Search Console clicks and Google Ads before treating any May-July web number as real.</t>
        </is>
      </c>
    </row>
    <row r="10">
      <c r="A10" s="4" t="inlineStr">
        <is>
          <t>FLAG 3  July key events jump roughly 5x with no matching traffic increase, which means the key-event configuration changed in July.</t>
        </is>
      </c>
    </row>
    <row r="11">
      <c r="A11" s="4" t="inlineStr">
        <is>
          <t xml:space="preserve">        Conversion counts are not comparable month to month across that break.</t>
        </is>
      </c>
    </row>
    <row r="12">
      <c r="A12" s="4" t="inlineStr">
        <is>
          <t>Bottom line: patient volume rose every month while measured web sessions fell by half. At least one of those two series is wrong,</t>
        </is>
      </c>
    </row>
    <row r="13">
      <c r="A13" s="4" t="inlineStr">
        <is>
          <t>and the patient data — counted from the EMR — is the one to trust.</t>
        </is>
      </c>
    </row>
    <row r="15">
      <c r="A15" s="3" t="inlineStr">
        <is>
          <t>GA4 monthly summary</t>
        </is>
      </c>
    </row>
    <row r="16" ht="30" customHeight="1">
      <c r="A16" s="5" t="inlineStr">
        <is>
          <t>Month</t>
        </is>
      </c>
      <c r="B16" s="5" t="inlineStr">
        <is>
          <t>Sessions</t>
        </is>
      </c>
      <c r="C16" s="5" t="inlineStr">
        <is>
          <t>Paid search sessions</t>
        </is>
      </c>
      <c r="D16" s="5" t="inlineStr">
        <is>
          <t>Organic search sessions</t>
        </is>
      </c>
      <c r="E16" s="5" t="inlineStr">
        <is>
          <t>Direct sessions</t>
        </is>
      </c>
      <c r="F16" s="5" t="inlineStr">
        <is>
          <t>Key events</t>
        </is>
      </c>
      <c r="G16" s="5" t="inlineStr">
        <is>
          <t>New patients</t>
        </is>
      </c>
      <c r="H16" s="5" t="inlineStr">
        <is>
          <t>New patients per 1,000 sessions</t>
        </is>
      </c>
    </row>
    <row r="17">
      <c r="A17" s="6" t="inlineStr">
        <is>
          <t>Jan-26</t>
        </is>
      </c>
      <c r="B17" s="15" t="n">
        <v>21619</v>
      </c>
      <c r="C17" s="15" t="n">
        <v>11258</v>
      </c>
      <c r="D17" s="15" t="n">
        <v>6653</v>
      </c>
      <c r="E17" s="15" t="n">
        <v>2482</v>
      </c>
      <c r="F17" s="15" t="n">
        <v>3595</v>
      </c>
      <c r="G17" s="25">
        <f>Actuals!B12</f>
        <v/>
      </c>
      <c r="H17" s="28">
        <f>G17/B17*1000</f>
        <v/>
      </c>
    </row>
    <row r="18">
      <c r="A18" s="6" t="inlineStr">
        <is>
          <t>Feb-26</t>
        </is>
      </c>
      <c r="B18" s="15" t="n">
        <v>10893</v>
      </c>
      <c r="C18" s="15" t="n">
        <v>5717</v>
      </c>
      <c r="D18" s="15" t="n">
        <v>3499</v>
      </c>
      <c r="E18" s="15" t="n">
        <v>1186</v>
      </c>
      <c r="F18" s="15" t="n">
        <v>1774</v>
      </c>
      <c r="G18" s="25">
        <f>Actuals!C12</f>
        <v/>
      </c>
      <c r="H18" s="28">
        <f>G18/B18*1000</f>
        <v/>
      </c>
    </row>
    <row r="19">
      <c r="A19" s="6" t="inlineStr">
        <is>
          <t>Mar-26</t>
        </is>
      </c>
      <c r="B19" s="15" t="n">
        <v>21896</v>
      </c>
      <c r="C19" s="15" t="n">
        <v>12612</v>
      </c>
      <c r="D19" s="15" t="n">
        <v>6163</v>
      </c>
      <c r="E19" s="15" t="n">
        <v>2145</v>
      </c>
      <c r="F19" s="15" t="n">
        <v>3298</v>
      </c>
      <c r="G19" s="25">
        <f>Actuals!D12</f>
        <v/>
      </c>
      <c r="H19" s="28">
        <f>G19/B19*1000</f>
        <v/>
      </c>
    </row>
    <row r="20">
      <c r="A20" s="6" t="inlineStr">
        <is>
          <t>Apr-26</t>
        </is>
      </c>
      <c r="B20" s="15" t="n">
        <v>17967</v>
      </c>
      <c r="C20" s="15" t="n">
        <v>9984</v>
      </c>
      <c r="D20" s="15" t="n">
        <v>5264</v>
      </c>
      <c r="E20" s="15" t="n">
        <v>1717</v>
      </c>
      <c r="F20" s="15" t="n">
        <v>2637</v>
      </c>
      <c r="G20" s="25">
        <f>Actuals!E12</f>
        <v/>
      </c>
      <c r="H20" s="28">
        <f>G20/B20*1000</f>
        <v/>
      </c>
    </row>
    <row r="21">
      <c r="A21" s="6" t="inlineStr">
        <is>
          <t>May-26</t>
        </is>
      </c>
      <c r="B21" s="15" t="n">
        <v>9335</v>
      </c>
      <c r="C21" s="15" t="n">
        <v>5334</v>
      </c>
      <c r="D21" s="15" t="n">
        <v>3027</v>
      </c>
      <c r="E21" s="15" t="n">
        <v>717</v>
      </c>
      <c r="F21" s="15" t="n">
        <v>896</v>
      </c>
      <c r="G21" s="25">
        <f>Actuals!F12</f>
        <v/>
      </c>
      <c r="H21" s="28">
        <f>G21/B21*1000</f>
        <v/>
      </c>
    </row>
    <row r="22">
      <c r="A22" s="6" t="inlineStr">
        <is>
          <t>Jun-26</t>
        </is>
      </c>
      <c r="B22" s="15" t="n">
        <v>10086</v>
      </c>
      <c r="C22" s="15" t="n">
        <v>5937</v>
      </c>
      <c r="D22" s="15" t="n">
        <v>3209</v>
      </c>
      <c r="E22" s="15" t="n">
        <v>669</v>
      </c>
      <c r="F22" s="15" t="n">
        <v>2177</v>
      </c>
      <c r="G22" s="25">
        <f>Actuals!G12</f>
        <v/>
      </c>
      <c r="H22" s="28">
        <f>G22/B22*1000</f>
        <v/>
      </c>
    </row>
    <row r="23">
      <c r="A23" s="6" t="inlineStr">
        <is>
          <t>Jul-26</t>
        </is>
      </c>
      <c r="B23" s="15" t="n">
        <v>8784</v>
      </c>
      <c r="C23" s="15" t="n">
        <v>4973</v>
      </c>
      <c r="D23" s="15" t="n">
        <v>2768</v>
      </c>
      <c r="E23" s="15" t="n">
        <v>594</v>
      </c>
      <c r="F23" s="15" t="n">
        <v>10398</v>
      </c>
      <c r="G23" s="25">
        <f>Actuals!H12</f>
        <v/>
      </c>
      <c r="H23" s="28">
        <f>G23/B23*1000</f>
        <v/>
      </c>
    </row>
    <row r="25">
      <c r="A25" s="2" t="inlineStr">
        <is>
          <t>Source: GA4 property 370514163, sessionDefaultChannelGroup by yearMonth, pulled 2026-07-30. July covers 1-29 July only.</t>
        </is>
      </c>
    </row>
    <row r="26">
      <c r="A26" s="2" t="inlineStr">
        <is>
          <t>"New patients per 1,000 sessions" is a ratio of two independent series, not a conversion rate. It rises sharply after April because</t>
        </is>
      </c>
    </row>
    <row r="27">
      <c r="A27" s="2" t="inlineStr">
        <is>
          <t>the denominator collapsed, which is exactly what FLAG 2 says not to trust.</t>
        </is>
      </c>
    </row>
  </sheetData>
  <mergeCells count="2">
    <mergeCell ref="A15:I15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2026-07-30T18:24:45Z</dcterms:created>
  <dcterms:modified xsi:type="dcterms:W3CDTF">2026-07-30T18:24:45Z</dcterms:modified>
</cp:coreProperties>
</file>